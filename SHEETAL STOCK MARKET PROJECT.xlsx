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94AF403-6C01-4660-8AD4-6C4F53166A3D}" xr6:coauthVersionLast="47" xr6:coauthVersionMax="47" xr10:uidLastSave="{00000000-0000-0000-0000-000000000000}"/>
  <bookViews>
    <workbookView xWindow="-120" yWindow="-120" windowWidth="20730" windowHeight="11160" activeTab="1" xr2:uid="{BB6BE04B-C192-404F-9C3D-5129C4D8ABA6}"/>
  </bookViews>
  <sheets>
    <sheet name="DATASET" sheetId="5" r:id="rId1"/>
    <sheet name="REPORTS" sheetId="14" r:id="rId2"/>
    <sheet name="ZCPOT" sheetId="2" r:id="rId3"/>
    <sheet name="MVT" sheetId="13" r:id="rId4"/>
    <sheet name="ZS.CC" sheetId="12" r:id="rId5"/>
    <sheet name="52W ANALYSIS" sheetId="15" r:id="rId6"/>
    <sheet name="KPI " sheetId="16" r:id="rId7"/>
  </sheets>
  <definedNames>
    <definedName name="Slicer_day">#N/A</definedName>
    <definedName name="Slicer_month">#N/A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0" i="5" l="1"/>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alcChain>
</file>

<file path=xl/sharedStrings.xml><?xml version="1.0" encoding="utf-8"?>
<sst xmlns="http://schemas.openxmlformats.org/spreadsheetml/2006/main" count="298" uniqueCount="33">
  <si>
    <t xml:space="preserve">Date </t>
  </si>
  <si>
    <t xml:space="preserve">series </t>
  </si>
  <si>
    <t xml:space="preserve">OPEN </t>
  </si>
  <si>
    <t xml:space="preserve">HIGH </t>
  </si>
  <si>
    <t xml:space="preserve">LOW </t>
  </si>
  <si>
    <t xml:space="preserve">PREV. CLOSE </t>
  </si>
  <si>
    <t xml:space="preserve">ltp </t>
  </si>
  <si>
    <t xml:space="preserve">close </t>
  </si>
  <si>
    <t xml:space="preserve">vwap </t>
  </si>
  <si>
    <t xml:space="preserve">52W H </t>
  </si>
  <si>
    <t xml:space="preserve">52W L </t>
  </si>
  <si>
    <t xml:space="preserve">VOLUME </t>
  </si>
  <si>
    <t xml:space="preserve">VALUE </t>
  </si>
  <si>
    <t xml:space="preserve">No of trades </t>
  </si>
  <si>
    <t>EQ</t>
  </si>
  <si>
    <t>Row Labels</t>
  </si>
  <si>
    <t xml:space="preserve">Sum of close </t>
  </si>
  <si>
    <t>month</t>
  </si>
  <si>
    <t>day</t>
  </si>
  <si>
    <t>year</t>
  </si>
  <si>
    <t>Grand Total</t>
  </si>
  <si>
    <t xml:space="preserve">Sum of OPEN </t>
  </si>
  <si>
    <t xml:space="preserve">Sum of HIGH </t>
  </si>
  <si>
    <t xml:space="preserve">Sum of LOW </t>
  </si>
  <si>
    <t xml:space="preserve">Sum of VOLUME </t>
  </si>
  <si>
    <t xml:space="preserve">Sum of vwap </t>
  </si>
  <si>
    <t xml:space="preserve">Sum of 52W H </t>
  </si>
  <si>
    <t xml:space="preserve">Sum of 52W L </t>
  </si>
  <si>
    <t xml:space="preserve">Average of VOLUME </t>
  </si>
  <si>
    <t>s</t>
  </si>
  <si>
    <t>2024</t>
  </si>
  <si>
    <t>Qtr4</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</si>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</sst>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theme="1"/>
        <bgColor theme="1"/>
      </patternFill>
    </fill>
  </fills>
  <borders count="4">
    <border>
      <left/>
      <right/>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3" borderId="1" xfId="0" applyFill="1" applyBorder="1"/>
    <xf numFmtId="0" fontId="0" fillId="0" borderId="1" xfId="0" applyBorder="1"/>
    <xf numFmtId="3" fontId="0" fillId="3" borderId="1" xfId="0" applyNumberFormat="1" applyFill="1" applyBorder="1"/>
    <xf numFmtId="4" fontId="0" fillId="3" borderId="1" xfId="0" applyNumberFormat="1" applyFill="1" applyBorder="1"/>
    <xf numFmtId="3" fontId="0" fillId="0" borderId="1" xfId="0" applyNumberFormat="1" applyBorder="1"/>
    <xf numFmtId="4" fontId="0" fillId="0" borderId="1" xfId="0" applyNumberFormat="1" applyBorder="1"/>
    <xf numFmtId="15" fontId="0" fillId="3" borderId="1" xfId="0" applyNumberFormat="1" applyFill="1" applyBorder="1"/>
    <xf numFmtId="15" fontId="0" fillId="0" borderId="1" xfId="0" applyNumberFormat="1" applyBorder="1"/>
    <xf numFmtId="3" fontId="0" fillId="2" borderId="1" xfId="0" applyNumberFormat="1" applyFill="1" applyBorder="1"/>
    <xf numFmtId="0" fontId="1" fillId="4" borderId="2" xfId="0" applyFont="1" applyFill="1" applyBorder="1"/>
    <xf numFmtId="15" fontId="0" fillId="3" borderId="3" xfId="0" applyNumberFormat="1" applyFill="1" applyBorder="1"/>
    <xf numFmtId="0" fontId="0" fillId="3" borderId="3" xfId="0" applyFill="1" applyBorder="1"/>
    <xf numFmtId="3" fontId="0" fillId="3" borderId="3" xfId="0" applyNumberFormat="1" applyFill="1" applyBorder="1"/>
    <xf numFmtId="4" fontId="0" fillId="3" borderId="3" xfId="0" applyNumberFormat="1" applyFill="1" applyBorder="1"/>
    <xf numFmtId="3" fontId="0" fillId="0" borderId="0" xfId="0" applyNumberFormat="1"/>
    <xf numFmtId="0" fontId="1" fillId="0" borderId="2" xfId="0" applyFont="1" applyBorder="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0" borderId="0" xfId="0" applyNumberFormat="1"/>
  </cellXfs>
  <cellStyles count="1">
    <cellStyle name="Normal" xfId="0" builtinId="0"/>
  </cellStyles>
  <dxfs count="22">
    <dxf>
      <numFmt numFmtId="3" formatCode="#,##0"/>
      <fill>
        <patternFill patternType="solid">
          <fgColor theme="0" tint="-0.14999847407452621"/>
          <bgColor theme="0" tint="-0.14999847407452621"/>
        </patternFill>
      </fill>
      <border diagonalUp="0" diagonalDown="0">
        <left/>
        <right/>
        <top style="thin">
          <color theme="1"/>
        </top>
        <bottom style="thin">
          <color theme="1"/>
        </bottom>
        <vertical/>
        <horizontal/>
      </border>
    </dxf>
    <dxf>
      <numFmt numFmtId="4" formatCode="#,##0.00"/>
      <fill>
        <patternFill patternType="solid">
          <fgColor theme="0" tint="-0.14999847407452621"/>
          <bgColor theme="0" tint="-0.14999847407452621"/>
        </patternFill>
      </fill>
      <border diagonalUp="0" diagonalDown="0">
        <left/>
        <right/>
        <top style="thin">
          <color theme="1"/>
        </top>
        <bottom style="thin">
          <color theme="1"/>
        </bottom>
        <vertical/>
        <horizontal/>
      </border>
    </dxf>
    <dxf>
      <numFmt numFmtId="3" formatCode="#,##0"/>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numFmt numFmtId="20" formatCode="dd/mmm/yy"/>
      <fill>
        <patternFill patternType="solid">
          <fgColor theme="0" tint="-0.14999847407452621"/>
          <bgColor theme="0" tint="-0.14999847407452621"/>
        </patternFill>
      </fill>
      <border diagonalUp="0" diagonalDown="0">
        <left/>
        <right/>
        <top style="thin">
          <color theme="1"/>
        </top>
        <bottom style="thin">
          <color theme="1"/>
        </bottom>
        <vertical/>
        <horizontal/>
      </border>
    </dxf>
    <dxf>
      <numFmt numFmtId="20" formatCode="dd/mmm/yy"/>
      <fill>
        <patternFill patternType="solid">
          <fgColor theme="0" tint="-0.14999847407452621"/>
          <bgColor theme="0" tint="-0.14999847407452621"/>
        </patternFill>
      </fill>
      <border diagonalUp="0" diagonalDown="0" outline="0">
        <left/>
        <right/>
        <top style="thin">
          <color theme="1"/>
        </top>
        <bottom style="thin">
          <color theme="1"/>
        </bottom>
      </border>
    </dxf>
    <dxf>
      <numFmt numFmtId="20" formatCode="dd/mmm/yy"/>
      <fill>
        <patternFill patternType="none">
          <fgColor indexed="64"/>
          <bgColor auto="1"/>
        </patternFill>
      </fill>
      <border diagonalUp="0" diagonalDown="0" outline="0">
        <left/>
        <right/>
        <top style="thin">
          <color theme="1"/>
        </top>
        <bottom style="thin">
          <color theme="1"/>
        </bottom>
      </border>
    </dxf>
    <dxf>
      <numFmt numFmtId="20" formatCode="dd/mmm/yy"/>
      <fill>
        <patternFill patternType="solid">
          <fgColor theme="0" tint="-0.14999847407452621"/>
          <bgColor theme="0" tint="-0.14999847407452621"/>
        </patternFill>
      </fill>
      <border diagonalUp="0" diagonalDown="0" outline="0">
        <left/>
        <right/>
        <top style="thin">
          <color theme="1"/>
        </top>
        <bottom style="thin">
          <color theme="1"/>
        </bottom>
      </border>
    </dxf>
    <dxf>
      <border outline="0">
        <top style="thin">
          <color theme="1"/>
        </top>
      </border>
    </dxf>
    <dxf>
      <border outline="0">
        <left style="thin">
          <color theme="1"/>
        </left>
        <right style="thin">
          <color theme="1"/>
        </right>
        <top style="thin">
          <color theme="1"/>
        </top>
        <bottom style="thin">
          <color theme="1"/>
        </bottom>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s>
  <tableStyles count="1" defaultTableStyle="TableStyleMedium2" defaultPivotStyle="PivotStyleLight16">
    <tableStyle name="Table Style 1" pivot="0" count="0" xr9:uid="{58CAD5CB-BF67-4C27-A658-778099A8E6EC}"/>
  </tableStyles>
  <colors>
    <mruColors>
      <color rgb="FFCC99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PROJECT.xlsx]ZCPOT!PivotTable1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ZOMATO  CLOSING PRICE OVER TIME</a:t>
            </a:r>
          </a:p>
          <a:p>
            <a:pPr>
              <a:defRPr/>
            </a:pPr>
            <a:endParaRPr lang="en-IN"/>
          </a:p>
        </c:rich>
      </c:tx>
      <c:layout>
        <c:manualLayout>
          <c:xMode val="edge"/>
          <c:yMode val="edge"/>
          <c:x val="9.3384067215061789E-2"/>
          <c:y val="0.1569302587176602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ZCPOT!$B$3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ZCPOT!$A$4:$A$27</c:f>
              <c:multiLvlStrCache>
                <c:ptCount val="21"/>
                <c:lvl>
                  <c:pt idx="0">
                    <c:v>02-12-2024</c:v>
                  </c:pt>
                  <c:pt idx="1">
                    <c:v>03-12-2024</c:v>
                  </c:pt>
                  <c:pt idx="2">
                    <c:v>04-12-2024</c:v>
                  </c:pt>
                  <c:pt idx="3">
                    <c:v>05-12-2024</c:v>
                  </c:pt>
                  <c:pt idx="4">
                    <c:v>06-12-2024</c:v>
                  </c:pt>
                  <c:pt idx="5">
                    <c:v>09-12-2024</c:v>
                  </c:pt>
                  <c:pt idx="6">
                    <c:v>10-12-2024</c:v>
                  </c:pt>
                  <c:pt idx="7">
                    <c:v>11-12-2024</c:v>
                  </c:pt>
                  <c:pt idx="8">
                    <c:v>12-12-2024</c:v>
                  </c:pt>
                  <c:pt idx="9">
                    <c:v>13-12-2024</c:v>
                  </c:pt>
                  <c:pt idx="10">
                    <c:v>16-12-2024</c:v>
                  </c:pt>
                  <c:pt idx="11">
                    <c:v>17-12-2024</c:v>
                  </c:pt>
                  <c:pt idx="12">
                    <c:v>18-12-2024</c:v>
                  </c:pt>
                  <c:pt idx="13">
                    <c:v>19-12-2024</c:v>
                  </c:pt>
                  <c:pt idx="14">
                    <c:v>20-12-2024</c:v>
                  </c:pt>
                  <c:pt idx="15">
                    <c:v>23-12-2024</c:v>
                  </c:pt>
                  <c:pt idx="16">
                    <c:v>24-12-2024</c:v>
                  </c:pt>
                  <c:pt idx="17">
                    <c:v>26-12-2024</c:v>
                  </c:pt>
                  <c:pt idx="18">
                    <c:v>27-12-2024</c:v>
                  </c:pt>
                  <c:pt idx="19">
                    <c:v>30-12-2024</c:v>
                  </c:pt>
                  <c:pt idx="20">
                    <c:v>31-12-2024</c:v>
                  </c:pt>
                </c:lvl>
                <c:lvl>
                  <c:pt idx="0">
                    <c:v>Dec</c:v>
                  </c:pt>
                </c:lvl>
                <c:lvl>
                  <c:pt idx="0">
                    <c:v>Qtr4</c:v>
                  </c:pt>
                </c:lvl>
                <c:lvl>
                  <c:pt idx="0">
                    <c:v>2024</c:v>
                  </c:pt>
                </c:lvl>
              </c:multiLvlStrCache>
            </c:multiLvlStrRef>
          </c:cat>
          <c:val>
            <c:numRef>
              <c:f>ZCPOT!$B$4:$B$27</c:f>
              <c:numCache>
                <c:formatCode>General</c:formatCode>
                <c:ptCount val="21"/>
                <c:pt idx="0">
                  <c:v>282.5</c:v>
                </c:pt>
                <c:pt idx="1">
                  <c:v>279.85000000000002</c:v>
                </c:pt>
                <c:pt idx="2">
                  <c:v>286.25</c:v>
                </c:pt>
                <c:pt idx="3">
                  <c:v>299.35000000000002</c:v>
                </c:pt>
                <c:pt idx="4">
                  <c:v>302.95</c:v>
                </c:pt>
                <c:pt idx="5">
                  <c:v>295.3</c:v>
                </c:pt>
                <c:pt idx="6">
                  <c:v>295.85000000000002</c:v>
                </c:pt>
                <c:pt idx="7">
                  <c:v>291.8</c:v>
                </c:pt>
                <c:pt idx="8">
                  <c:v>284.89999999999998</c:v>
                </c:pt>
                <c:pt idx="9">
                  <c:v>288.25</c:v>
                </c:pt>
                <c:pt idx="10">
                  <c:v>294.14999999999998</c:v>
                </c:pt>
                <c:pt idx="11">
                  <c:v>296.8</c:v>
                </c:pt>
                <c:pt idx="12">
                  <c:v>291.89999999999998</c:v>
                </c:pt>
                <c:pt idx="13">
                  <c:v>288.5</c:v>
                </c:pt>
                <c:pt idx="14">
                  <c:v>282.10000000000002</c:v>
                </c:pt>
                <c:pt idx="15">
                  <c:v>273.95</c:v>
                </c:pt>
                <c:pt idx="16">
                  <c:v>274.85000000000002</c:v>
                </c:pt>
                <c:pt idx="17">
                  <c:v>273.2</c:v>
                </c:pt>
                <c:pt idx="18">
                  <c:v>271.25</c:v>
                </c:pt>
                <c:pt idx="19">
                  <c:v>282.10000000000002</c:v>
                </c:pt>
                <c:pt idx="20">
                  <c:v>278.05</c:v>
                </c:pt>
              </c:numCache>
            </c:numRef>
          </c:val>
          <c:smooth val="0"/>
          <c:extLst>
            <c:ext xmlns:c16="http://schemas.microsoft.com/office/drawing/2014/chart" uri="{C3380CC4-5D6E-409C-BE32-E72D297353CC}">
              <c16:uniqueId val="{00000004-8438-413C-8EA7-EAC202D43BC1}"/>
            </c:ext>
          </c:extLst>
        </c:ser>
        <c:dLbls>
          <c:dLblPos val="t"/>
          <c:showLegendKey val="0"/>
          <c:showVal val="1"/>
          <c:showCatName val="0"/>
          <c:showSerName val="0"/>
          <c:showPercent val="0"/>
          <c:showBubbleSize val="0"/>
        </c:dLbls>
        <c:marker val="1"/>
        <c:smooth val="0"/>
        <c:axId val="1452076335"/>
        <c:axId val="1452084495"/>
      </c:lineChart>
      <c:catAx>
        <c:axId val="14520763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084495"/>
        <c:crosses val="autoZero"/>
        <c:auto val="1"/>
        <c:lblAlgn val="ctr"/>
        <c:lblOffset val="100"/>
        <c:noMultiLvlLbl val="0"/>
      </c:catAx>
      <c:valAx>
        <c:axId val="145208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07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PROJECT.xlsx]MVT!PivotTable1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MONTLY</a:t>
            </a:r>
            <a:r>
              <a:rPr lang="en-IN" baseline="0"/>
              <a:t> VOLUMN TRACKING</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MVT!$B$3</c:f>
              <c:strCache>
                <c:ptCount val="1"/>
                <c:pt idx="0">
                  <c:v>Sum of vwap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MVT!$A$4:$A$5</c:f>
              <c:strCache>
                <c:ptCount val="1"/>
                <c:pt idx="0">
                  <c:v>Dec</c:v>
                </c:pt>
              </c:strCache>
            </c:strRef>
          </c:cat>
          <c:val>
            <c:numRef>
              <c:f>MVT!$B$4:$B$5</c:f>
              <c:numCache>
                <c:formatCode>General</c:formatCode>
                <c:ptCount val="1"/>
                <c:pt idx="0">
                  <c:v>3728.75</c:v>
                </c:pt>
              </c:numCache>
            </c:numRef>
          </c:val>
          <c:smooth val="0"/>
          <c:extLst>
            <c:ext xmlns:c16="http://schemas.microsoft.com/office/drawing/2014/chart" uri="{C3380CC4-5D6E-409C-BE32-E72D297353CC}">
              <c16:uniqueId val="{00000000-BA1F-4033-BFE2-43B30A385365}"/>
            </c:ext>
          </c:extLst>
        </c:ser>
        <c:ser>
          <c:idx val="1"/>
          <c:order val="1"/>
          <c:tx>
            <c:strRef>
              <c:f>MVT!$C$3</c:f>
              <c:strCache>
                <c:ptCount val="1"/>
                <c:pt idx="0">
                  <c:v>Sum of VOLUME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MVT!$A$4:$A$5</c:f>
              <c:strCache>
                <c:ptCount val="1"/>
                <c:pt idx="0">
                  <c:v>Dec</c:v>
                </c:pt>
              </c:strCache>
            </c:strRef>
          </c:cat>
          <c:val>
            <c:numRef>
              <c:f>MVT!$C$4:$C$5</c:f>
              <c:numCache>
                <c:formatCode>General</c:formatCode>
                <c:ptCount val="1"/>
                <c:pt idx="0">
                  <c:v>651776841</c:v>
                </c:pt>
              </c:numCache>
            </c:numRef>
          </c:val>
          <c:smooth val="0"/>
          <c:extLst>
            <c:ext xmlns:c16="http://schemas.microsoft.com/office/drawing/2014/chart" uri="{C3380CC4-5D6E-409C-BE32-E72D297353CC}">
              <c16:uniqueId val="{00000001-BA1F-4033-BFE2-43B30A385365}"/>
            </c:ext>
          </c:extLst>
        </c:ser>
        <c:dLbls>
          <c:showLegendKey val="0"/>
          <c:showVal val="0"/>
          <c:showCatName val="0"/>
          <c:showSerName val="0"/>
          <c:showPercent val="0"/>
          <c:showBubbleSize val="0"/>
        </c:dLbls>
        <c:marker val="1"/>
        <c:smooth val="0"/>
        <c:axId val="1651538271"/>
        <c:axId val="1651531071"/>
      </c:lineChart>
      <c:catAx>
        <c:axId val="1651538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531071"/>
        <c:crosses val="autoZero"/>
        <c:auto val="1"/>
        <c:lblAlgn val="ctr"/>
        <c:lblOffset val="100"/>
        <c:noMultiLvlLbl val="0"/>
      </c:catAx>
      <c:valAx>
        <c:axId val="165153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53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PROJECT.xlsx]ZS.CC!PivotTable1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ZOMATO</a:t>
            </a:r>
            <a:r>
              <a:rPr lang="en-IN" baseline="0"/>
              <a:t> STOCK - COLUMN CHART</a:t>
            </a:r>
          </a:p>
          <a:p>
            <a:pPr>
              <a:defRPr/>
            </a:pPr>
            <a:endParaRPr lang="en-IN"/>
          </a:p>
        </c:rich>
      </c:tx>
      <c:layout>
        <c:manualLayout>
          <c:xMode val="edge"/>
          <c:yMode val="edge"/>
          <c:x val="0.15588143424220732"/>
          <c:y val="0.77002583979328176"/>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343289733411431E-2"/>
          <c:y val="2.8385114651366252E-2"/>
          <c:w val="0.65971959755030618"/>
          <c:h val="0.52130030621172352"/>
        </c:manualLayout>
      </c:layout>
      <c:bar3DChart>
        <c:barDir val="col"/>
        <c:grouping val="stacked"/>
        <c:varyColors val="0"/>
        <c:ser>
          <c:idx val="0"/>
          <c:order val="0"/>
          <c:tx>
            <c:strRef>
              <c:f>ZS.CC!$B$3</c:f>
              <c:strCache>
                <c:ptCount val="1"/>
                <c:pt idx="0">
                  <c:v>Sum of OPEN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ZS.CC!$B$4:$B$20</c:f>
              <c:numCache>
                <c:formatCode>General</c:formatCode>
                <c:ptCount val="13"/>
                <c:pt idx="0">
                  <c:v>281.89999999999998</c:v>
                </c:pt>
                <c:pt idx="1">
                  <c:v>279.7</c:v>
                </c:pt>
                <c:pt idx="2">
                  <c:v>283</c:v>
                </c:pt>
                <c:pt idx="3">
                  <c:v>304.7</c:v>
                </c:pt>
                <c:pt idx="4">
                  <c:v>296.75</c:v>
                </c:pt>
                <c:pt idx="5">
                  <c:v>290</c:v>
                </c:pt>
                <c:pt idx="6">
                  <c:v>289</c:v>
                </c:pt>
                <c:pt idx="7">
                  <c:v>295.5</c:v>
                </c:pt>
                <c:pt idx="8">
                  <c:v>297.7</c:v>
                </c:pt>
                <c:pt idx="9">
                  <c:v>273.89999999999998</c:v>
                </c:pt>
                <c:pt idx="10">
                  <c:v>274.5</c:v>
                </c:pt>
                <c:pt idx="11">
                  <c:v>271.25</c:v>
                </c:pt>
                <c:pt idx="12">
                  <c:v>278</c:v>
                </c:pt>
              </c:numCache>
            </c:numRef>
          </c:val>
          <c:extLst>
            <c:ext xmlns:c16="http://schemas.microsoft.com/office/drawing/2014/chart" uri="{C3380CC4-5D6E-409C-BE32-E72D297353CC}">
              <c16:uniqueId val="{00000000-6B28-4070-AAB2-D686B3594F51}"/>
            </c:ext>
          </c:extLst>
        </c:ser>
        <c:ser>
          <c:idx val="1"/>
          <c:order val="1"/>
          <c:tx>
            <c:strRef>
              <c:f>ZS.CC!$C$3</c:f>
              <c:strCache>
                <c:ptCount val="1"/>
                <c:pt idx="0">
                  <c:v>Sum of LOW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ZS.CC!$C$4:$C$20</c:f>
              <c:numCache>
                <c:formatCode>General</c:formatCode>
                <c:ptCount val="13"/>
                <c:pt idx="0">
                  <c:v>280.45</c:v>
                </c:pt>
                <c:pt idx="1">
                  <c:v>279</c:v>
                </c:pt>
                <c:pt idx="2">
                  <c:v>283</c:v>
                </c:pt>
                <c:pt idx="3">
                  <c:v>291.8</c:v>
                </c:pt>
                <c:pt idx="4">
                  <c:v>295</c:v>
                </c:pt>
                <c:pt idx="5">
                  <c:v>288.60000000000002</c:v>
                </c:pt>
                <c:pt idx="6">
                  <c:v>286.55</c:v>
                </c:pt>
                <c:pt idx="7">
                  <c:v>292.3</c:v>
                </c:pt>
                <c:pt idx="8">
                  <c:v>290</c:v>
                </c:pt>
                <c:pt idx="9">
                  <c:v>272</c:v>
                </c:pt>
                <c:pt idx="10">
                  <c:v>269.10000000000002</c:v>
                </c:pt>
                <c:pt idx="11">
                  <c:v>269.8</c:v>
                </c:pt>
                <c:pt idx="12">
                  <c:v>275</c:v>
                </c:pt>
              </c:numCache>
            </c:numRef>
          </c:val>
          <c:extLst>
            <c:ext xmlns:c16="http://schemas.microsoft.com/office/drawing/2014/chart" uri="{C3380CC4-5D6E-409C-BE32-E72D297353CC}">
              <c16:uniqueId val="{00000001-6B28-4070-AAB2-D686B3594F51}"/>
            </c:ext>
          </c:extLst>
        </c:ser>
        <c:ser>
          <c:idx val="2"/>
          <c:order val="2"/>
          <c:tx>
            <c:strRef>
              <c:f>ZS.CC!$D$3</c:f>
              <c:strCache>
                <c:ptCount val="1"/>
                <c:pt idx="0">
                  <c:v>Sum of HIGH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ZS.CC!$D$4:$D$20</c:f>
              <c:numCache>
                <c:formatCode>General</c:formatCode>
                <c:ptCount val="13"/>
                <c:pt idx="0">
                  <c:v>285.7</c:v>
                </c:pt>
                <c:pt idx="1">
                  <c:v>282.35000000000002</c:v>
                </c:pt>
                <c:pt idx="2">
                  <c:v>288</c:v>
                </c:pt>
                <c:pt idx="3">
                  <c:v>304.7</c:v>
                </c:pt>
                <c:pt idx="4">
                  <c:v>299.45</c:v>
                </c:pt>
                <c:pt idx="5">
                  <c:v>294.3</c:v>
                </c:pt>
                <c:pt idx="6">
                  <c:v>295.89999999999998</c:v>
                </c:pt>
                <c:pt idx="7">
                  <c:v>303.45</c:v>
                </c:pt>
                <c:pt idx="8">
                  <c:v>297.7</c:v>
                </c:pt>
                <c:pt idx="9">
                  <c:v>282.89999999999998</c:v>
                </c:pt>
                <c:pt idx="10">
                  <c:v>277</c:v>
                </c:pt>
                <c:pt idx="11">
                  <c:v>291.60000000000002</c:v>
                </c:pt>
                <c:pt idx="12">
                  <c:v>281.60000000000002</c:v>
                </c:pt>
              </c:numCache>
            </c:numRef>
          </c:val>
          <c:extLst>
            <c:ext xmlns:c16="http://schemas.microsoft.com/office/drawing/2014/chart" uri="{C3380CC4-5D6E-409C-BE32-E72D297353CC}">
              <c16:uniqueId val="{00000002-6B28-4070-AAB2-D686B3594F51}"/>
            </c:ext>
          </c:extLst>
        </c:ser>
        <c:ser>
          <c:idx val="3"/>
          <c:order val="3"/>
          <c:tx>
            <c:strRef>
              <c:f>ZS.CC!$E$3</c:f>
              <c:strCache>
                <c:ptCount val="1"/>
                <c:pt idx="0">
                  <c:v>Sum of close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ZS.CC!$E$4:$E$20</c:f>
              <c:numCache>
                <c:formatCode>General</c:formatCode>
                <c:ptCount val="13"/>
                <c:pt idx="0">
                  <c:v>282.5</c:v>
                </c:pt>
                <c:pt idx="1">
                  <c:v>279.85000000000002</c:v>
                </c:pt>
                <c:pt idx="2">
                  <c:v>286.25</c:v>
                </c:pt>
                <c:pt idx="3">
                  <c:v>295.3</c:v>
                </c:pt>
                <c:pt idx="4">
                  <c:v>295.85000000000002</c:v>
                </c:pt>
                <c:pt idx="5">
                  <c:v>291.8</c:v>
                </c:pt>
                <c:pt idx="6">
                  <c:v>294.14999999999998</c:v>
                </c:pt>
                <c:pt idx="7">
                  <c:v>296.8</c:v>
                </c:pt>
                <c:pt idx="8">
                  <c:v>291.89999999999998</c:v>
                </c:pt>
                <c:pt idx="9">
                  <c:v>273.95</c:v>
                </c:pt>
                <c:pt idx="10">
                  <c:v>274.85000000000002</c:v>
                </c:pt>
                <c:pt idx="11">
                  <c:v>282.10000000000002</c:v>
                </c:pt>
                <c:pt idx="12">
                  <c:v>278.05</c:v>
                </c:pt>
              </c:numCache>
            </c:numRef>
          </c:val>
          <c:extLst>
            <c:ext xmlns:c16="http://schemas.microsoft.com/office/drawing/2014/chart" uri="{C3380CC4-5D6E-409C-BE32-E72D297353CC}">
              <c16:uniqueId val="{00000003-6B28-4070-AAB2-D686B3594F51}"/>
            </c:ext>
          </c:extLst>
        </c:ser>
        <c:dLbls>
          <c:showLegendKey val="0"/>
          <c:showVal val="0"/>
          <c:showCatName val="0"/>
          <c:showSerName val="0"/>
          <c:showPercent val="0"/>
          <c:showBubbleSize val="0"/>
        </c:dLbls>
        <c:gapWidth val="150"/>
        <c:shape val="box"/>
        <c:axId val="2023534047"/>
        <c:axId val="2023522527"/>
        <c:axId val="0"/>
      </c:bar3DChart>
      <c:catAx>
        <c:axId val="2023534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522527"/>
        <c:crosses val="autoZero"/>
        <c:auto val="1"/>
        <c:lblAlgn val="ctr"/>
        <c:lblOffset val="100"/>
        <c:noMultiLvlLbl val="0"/>
      </c:catAx>
      <c:valAx>
        <c:axId val="20235225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53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PROJECT.xlsx]52W ANALYSIS!PivotTable1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MONTLY</a:t>
            </a:r>
            <a:r>
              <a:rPr lang="en-IN" baseline="0"/>
              <a:t> 52W HIGH-LOW ANALYSIS</a:t>
            </a:r>
          </a:p>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7"/>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834311542569416E-2"/>
          <c:y val="0.13864656971219752"/>
          <c:w val="0.69648647395519181"/>
          <c:h val="0.67676870141473411"/>
        </c:manualLayout>
      </c:layout>
      <c:surface3DChart>
        <c:wireframe val="0"/>
        <c:ser>
          <c:idx val="0"/>
          <c:order val="0"/>
          <c:tx>
            <c:strRef>
              <c:f>'52W ANALYSIS'!$B$3</c:f>
              <c:strCache>
                <c:ptCount val="1"/>
                <c:pt idx="0">
                  <c:v>Sum of 52W 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'52W ANALYSIS'!$A$4:$A$5</c:f>
              <c:strCache>
                <c:ptCount val="1"/>
                <c:pt idx="0">
                  <c:v>Dec</c:v>
                </c:pt>
              </c:strCache>
            </c:strRef>
          </c:cat>
          <c:val>
            <c:numRef>
              <c:f>'52W ANALYSIS'!$B$4:$B$5</c:f>
              <c:numCache>
                <c:formatCode>General</c:formatCode>
                <c:ptCount val="1"/>
                <c:pt idx="0">
                  <c:v>3941.7499999999991</c:v>
                </c:pt>
              </c:numCache>
            </c:numRef>
          </c:val>
          <c:extLst>
            <c:ext xmlns:c16="http://schemas.microsoft.com/office/drawing/2014/chart" uri="{C3380CC4-5D6E-409C-BE32-E72D297353CC}">
              <c16:uniqueId val="{00000000-403A-43D0-B253-7B88188E391C}"/>
            </c:ext>
          </c:extLst>
        </c:ser>
        <c:ser>
          <c:idx val="1"/>
          <c:order val="1"/>
          <c:tx>
            <c:strRef>
              <c:f>'52W ANALYSIS'!$C$3</c:f>
              <c:strCache>
                <c:ptCount val="1"/>
                <c:pt idx="0">
                  <c:v>Sum of 52W L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'52W ANALYSIS'!$A$4:$A$5</c:f>
              <c:strCache>
                <c:ptCount val="1"/>
                <c:pt idx="0">
                  <c:v>Dec</c:v>
                </c:pt>
              </c:strCache>
            </c:strRef>
          </c:cat>
          <c:val>
            <c:numRef>
              <c:f>'52W ANALYSIS'!$C$4:$C$5</c:f>
              <c:numCache>
                <c:formatCode>General</c:formatCode>
                <c:ptCount val="1"/>
                <c:pt idx="0">
                  <c:v>1529.8999999999996</c:v>
                </c:pt>
              </c:numCache>
            </c:numRef>
          </c:val>
          <c:extLst>
            <c:ext xmlns:c16="http://schemas.microsoft.com/office/drawing/2014/chart" uri="{C3380CC4-5D6E-409C-BE32-E72D297353CC}">
              <c16:uniqueId val="{00000001-403A-43D0-B253-7B88188E391C}"/>
            </c:ext>
          </c:extLst>
        </c:ser>
        <c:bandFmts>
          <c:bandFmt>
            <c:idx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1914155504"/>
        <c:axId val="1914158864"/>
        <c:axId val="1086856591"/>
      </c:surface3DChart>
      <c:catAx>
        <c:axId val="1914155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8864"/>
        <c:crosses val="autoZero"/>
        <c:auto val="1"/>
        <c:lblAlgn val="ctr"/>
        <c:lblOffset val="100"/>
        <c:noMultiLvlLbl val="0"/>
      </c:catAx>
      <c:valAx>
        <c:axId val="1914158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5504"/>
        <c:crosses val="autoZero"/>
        <c:crossBetween val="midCat"/>
      </c:valAx>
      <c:serAx>
        <c:axId val="1086856591"/>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88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PROJECT.xlsx]KPI !PivotTable2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KPI</a:t>
            </a:r>
            <a:r>
              <a:rPr lang="en-IN" baseline="0"/>
              <a:t> - KEY PERFORMANCE INDICATORS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627038272237"/>
          <c:y val="0.38040880163952107"/>
          <c:w val="0.58744087569018721"/>
          <c:h val="0.53293459892855854"/>
        </c:manualLayout>
      </c:layout>
      <c:lineChart>
        <c:grouping val="stacked"/>
        <c:varyColors val="0"/>
        <c:ser>
          <c:idx val="0"/>
          <c:order val="0"/>
          <c:tx>
            <c:strRef>
              <c:f>'KPI '!$B$3</c:f>
              <c:strCache>
                <c:ptCount val="1"/>
                <c:pt idx="0">
                  <c:v>Sum of 52W H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'!$B$4:$B$5</c:f>
              <c:numCache>
                <c:formatCode>General</c:formatCode>
                <c:ptCount val="1"/>
                <c:pt idx="0">
                  <c:v>3941.7499999999991</c:v>
                </c:pt>
              </c:numCache>
            </c:numRef>
          </c:val>
          <c:smooth val="0"/>
          <c:extLst>
            <c:ext xmlns:c16="http://schemas.microsoft.com/office/drawing/2014/chart" uri="{C3380CC4-5D6E-409C-BE32-E72D297353CC}">
              <c16:uniqueId val="{00000000-B15F-4DE3-8467-C4F6B5F77298}"/>
            </c:ext>
          </c:extLst>
        </c:ser>
        <c:ser>
          <c:idx val="1"/>
          <c:order val="1"/>
          <c:tx>
            <c:strRef>
              <c:f>'KPI '!$C$3</c:f>
              <c:strCache>
                <c:ptCount val="1"/>
                <c:pt idx="0">
                  <c:v>Sum of 52W L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'!$C$4:$C$5</c:f>
              <c:numCache>
                <c:formatCode>General</c:formatCode>
                <c:ptCount val="1"/>
                <c:pt idx="0">
                  <c:v>1529.8999999999996</c:v>
                </c:pt>
              </c:numCache>
            </c:numRef>
          </c:val>
          <c:smooth val="0"/>
          <c:extLst>
            <c:ext xmlns:c16="http://schemas.microsoft.com/office/drawing/2014/chart" uri="{C3380CC4-5D6E-409C-BE32-E72D297353CC}">
              <c16:uniqueId val="{00000001-B15F-4DE3-8467-C4F6B5F77298}"/>
            </c:ext>
          </c:extLst>
        </c:ser>
        <c:ser>
          <c:idx val="2"/>
          <c:order val="2"/>
          <c:tx>
            <c:strRef>
              <c:f>'KPI '!$D$3</c:f>
              <c:strCache>
                <c:ptCount val="1"/>
                <c:pt idx="0">
                  <c:v>Average of VOLUME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'!$D$4:$D$5</c:f>
              <c:numCache>
                <c:formatCode>#,##0</c:formatCode>
                <c:ptCount val="1"/>
                <c:pt idx="0">
                  <c:v>50136680.07692308</c:v>
                </c:pt>
              </c:numCache>
            </c:numRef>
          </c:val>
          <c:smooth val="0"/>
          <c:extLst>
            <c:ext xmlns:c16="http://schemas.microsoft.com/office/drawing/2014/chart" uri="{C3380CC4-5D6E-409C-BE32-E72D297353CC}">
              <c16:uniqueId val="{00000002-B15F-4DE3-8467-C4F6B5F77298}"/>
            </c:ext>
          </c:extLst>
        </c:ser>
        <c:ser>
          <c:idx val="3"/>
          <c:order val="3"/>
          <c:tx>
            <c:strRef>
              <c:f>'KPI '!$E$3</c:f>
              <c:strCache>
                <c:ptCount val="1"/>
                <c:pt idx="0">
                  <c:v>Sum of close </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'!$E$4:$E$5</c:f>
              <c:numCache>
                <c:formatCode>General</c:formatCode>
                <c:ptCount val="1"/>
                <c:pt idx="0">
                  <c:v>3723.35</c:v>
                </c:pt>
              </c:numCache>
            </c:numRef>
          </c:val>
          <c:smooth val="0"/>
          <c:extLst>
            <c:ext xmlns:c16="http://schemas.microsoft.com/office/drawing/2014/chart" uri="{C3380CC4-5D6E-409C-BE32-E72D297353CC}">
              <c16:uniqueId val="{00000003-B15F-4DE3-8467-C4F6B5F77298}"/>
            </c:ext>
          </c:extLst>
        </c:ser>
        <c:dLbls>
          <c:showLegendKey val="0"/>
          <c:showVal val="0"/>
          <c:showCatName val="0"/>
          <c:showSerName val="0"/>
          <c:showPercent val="0"/>
          <c:showBubbleSize val="0"/>
        </c:dLbls>
        <c:marker val="1"/>
        <c:smooth val="0"/>
        <c:axId val="2077630704"/>
        <c:axId val="2077630224"/>
      </c:lineChart>
      <c:catAx>
        <c:axId val="20776307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630224"/>
        <c:crosses val="autoZero"/>
        <c:auto val="1"/>
        <c:lblAlgn val="ctr"/>
        <c:lblOffset val="100"/>
        <c:noMultiLvlLbl val="0"/>
      </c:catAx>
      <c:valAx>
        <c:axId val="207763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630704"/>
        <c:crosses val="autoZero"/>
        <c:crossBetween val="between"/>
      </c:valAx>
      <c:spPr>
        <a:noFill/>
        <a:ln>
          <a:noFill/>
        </a:ln>
        <a:effectLst/>
      </c:spPr>
    </c:plotArea>
    <c:legend>
      <c:legendPos val="r"/>
      <c:layout>
        <c:manualLayout>
          <c:xMode val="edge"/>
          <c:yMode val="edge"/>
          <c:x val="0.72428976377952758"/>
          <c:y val="0.36454633983472912"/>
          <c:w val="0.26116478167501789"/>
          <c:h val="0.38647820965842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PROJECT.xlsx]ZCPOT!PivotTable1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ZOMATO  CLOSING PRICE OVER TIME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ZCPOT!$B$3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ZCPOT!$A$4:$A$27</c:f>
              <c:multiLvlStrCache>
                <c:ptCount val="21"/>
                <c:lvl>
                  <c:pt idx="0">
                    <c:v>02-12-2024</c:v>
                  </c:pt>
                  <c:pt idx="1">
                    <c:v>03-12-2024</c:v>
                  </c:pt>
                  <c:pt idx="2">
                    <c:v>04-12-2024</c:v>
                  </c:pt>
                  <c:pt idx="3">
                    <c:v>05-12-2024</c:v>
                  </c:pt>
                  <c:pt idx="4">
                    <c:v>06-12-2024</c:v>
                  </c:pt>
                  <c:pt idx="5">
                    <c:v>09-12-2024</c:v>
                  </c:pt>
                  <c:pt idx="6">
                    <c:v>10-12-2024</c:v>
                  </c:pt>
                  <c:pt idx="7">
                    <c:v>11-12-2024</c:v>
                  </c:pt>
                  <c:pt idx="8">
                    <c:v>12-12-2024</c:v>
                  </c:pt>
                  <c:pt idx="9">
                    <c:v>13-12-2024</c:v>
                  </c:pt>
                  <c:pt idx="10">
                    <c:v>16-12-2024</c:v>
                  </c:pt>
                  <c:pt idx="11">
                    <c:v>17-12-2024</c:v>
                  </c:pt>
                  <c:pt idx="12">
                    <c:v>18-12-2024</c:v>
                  </c:pt>
                  <c:pt idx="13">
                    <c:v>19-12-2024</c:v>
                  </c:pt>
                  <c:pt idx="14">
                    <c:v>20-12-2024</c:v>
                  </c:pt>
                  <c:pt idx="15">
                    <c:v>23-12-2024</c:v>
                  </c:pt>
                  <c:pt idx="16">
                    <c:v>24-12-2024</c:v>
                  </c:pt>
                  <c:pt idx="17">
                    <c:v>26-12-2024</c:v>
                  </c:pt>
                  <c:pt idx="18">
                    <c:v>27-12-2024</c:v>
                  </c:pt>
                  <c:pt idx="19">
                    <c:v>30-12-2024</c:v>
                  </c:pt>
                  <c:pt idx="20">
                    <c:v>31-12-2024</c:v>
                  </c:pt>
                </c:lvl>
                <c:lvl>
                  <c:pt idx="0">
                    <c:v>Dec</c:v>
                  </c:pt>
                </c:lvl>
                <c:lvl>
                  <c:pt idx="0">
                    <c:v>Qtr4</c:v>
                  </c:pt>
                </c:lvl>
                <c:lvl>
                  <c:pt idx="0">
                    <c:v>2024</c:v>
                  </c:pt>
                </c:lvl>
              </c:multiLvlStrCache>
            </c:multiLvlStrRef>
          </c:cat>
          <c:val>
            <c:numRef>
              <c:f>ZCPOT!$B$4:$B$27</c:f>
              <c:numCache>
                <c:formatCode>General</c:formatCode>
                <c:ptCount val="21"/>
                <c:pt idx="0">
                  <c:v>282.5</c:v>
                </c:pt>
                <c:pt idx="1">
                  <c:v>279.85000000000002</c:v>
                </c:pt>
                <c:pt idx="2">
                  <c:v>286.25</c:v>
                </c:pt>
                <c:pt idx="3">
                  <c:v>299.35000000000002</c:v>
                </c:pt>
                <c:pt idx="4">
                  <c:v>302.95</c:v>
                </c:pt>
                <c:pt idx="5">
                  <c:v>295.3</c:v>
                </c:pt>
                <c:pt idx="6">
                  <c:v>295.85000000000002</c:v>
                </c:pt>
                <c:pt idx="7">
                  <c:v>291.8</c:v>
                </c:pt>
                <c:pt idx="8">
                  <c:v>284.89999999999998</c:v>
                </c:pt>
                <c:pt idx="9">
                  <c:v>288.25</c:v>
                </c:pt>
                <c:pt idx="10">
                  <c:v>294.14999999999998</c:v>
                </c:pt>
                <c:pt idx="11">
                  <c:v>296.8</c:v>
                </c:pt>
                <c:pt idx="12">
                  <c:v>291.89999999999998</c:v>
                </c:pt>
                <c:pt idx="13">
                  <c:v>288.5</c:v>
                </c:pt>
                <c:pt idx="14">
                  <c:v>282.10000000000002</c:v>
                </c:pt>
                <c:pt idx="15">
                  <c:v>273.95</c:v>
                </c:pt>
                <c:pt idx="16">
                  <c:v>274.85000000000002</c:v>
                </c:pt>
                <c:pt idx="17">
                  <c:v>273.2</c:v>
                </c:pt>
                <c:pt idx="18">
                  <c:v>271.25</c:v>
                </c:pt>
                <c:pt idx="19">
                  <c:v>282.10000000000002</c:v>
                </c:pt>
                <c:pt idx="20">
                  <c:v>278.05</c:v>
                </c:pt>
              </c:numCache>
            </c:numRef>
          </c:val>
          <c:smooth val="0"/>
          <c:extLst>
            <c:ext xmlns:c16="http://schemas.microsoft.com/office/drawing/2014/chart" uri="{C3380CC4-5D6E-409C-BE32-E72D297353CC}">
              <c16:uniqueId val="{00000003-E19C-4D42-9366-03922058F18B}"/>
            </c:ext>
          </c:extLst>
        </c:ser>
        <c:dLbls>
          <c:dLblPos val="ctr"/>
          <c:showLegendKey val="0"/>
          <c:showVal val="1"/>
          <c:showCatName val="0"/>
          <c:showSerName val="0"/>
          <c:showPercent val="0"/>
          <c:showBubbleSize val="0"/>
        </c:dLbls>
        <c:marker val="1"/>
        <c:smooth val="0"/>
        <c:axId val="1452076335"/>
        <c:axId val="1452084495"/>
      </c:lineChart>
      <c:catAx>
        <c:axId val="14520763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084495"/>
        <c:crosses val="autoZero"/>
        <c:auto val="1"/>
        <c:lblAlgn val="ctr"/>
        <c:lblOffset val="100"/>
        <c:noMultiLvlLbl val="0"/>
      </c:catAx>
      <c:valAx>
        <c:axId val="145208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07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PROJECT.xlsx]MVT!PivotTable1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MONTLY</a:t>
            </a:r>
            <a:r>
              <a:rPr lang="en-IN" baseline="0"/>
              <a:t> VOLUMN TRACKING</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MVT!$B$3</c:f>
              <c:strCache>
                <c:ptCount val="1"/>
                <c:pt idx="0">
                  <c:v>Sum of vwap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MVT!$A$4:$A$5</c:f>
              <c:strCache>
                <c:ptCount val="1"/>
                <c:pt idx="0">
                  <c:v>Dec</c:v>
                </c:pt>
              </c:strCache>
            </c:strRef>
          </c:cat>
          <c:val>
            <c:numRef>
              <c:f>MVT!$B$4:$B$5</c:f>
              <c:numCache>
                <c:formatCode>General</c:formatCode>
                <c:ptCount val="1"/>
                <c:pt idx="0">
                  <c:v>3728.75</c:v>
                </c:pt>
              </c:numCache>
            </c:numRef>
          </c:val>
          <c:smooth val="0"/>
          <c:extLst>
            <c:ext xmlns:c16="http://schemas.microsoft.com/office/drawing/2014/chart" uri="{C3380CC4-5D6E-409C-BE32-E72D297353CC}">
              <c16:uniqueId val="{00000000-46D1-4D2B-B0EF-52C2D433B9A3}"/>
            </c:ext>
          </c:extLst>
        </c:ser>
        <c:ser>
          <c:idx val="1"/>
          <c:order val="1"/>
          <c:tx>
            <c:strRef>
              <c:f>MVT!$C$3</c:f>
              <c:strCache>
                <c:ptCount val="1"/>
                <c:pt idx="0">
                  <c:v>Sum of VOLUME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MVT!$A$4:$A$5</c:f>
              <c:strCache>
                <c:ptCount val="1"/>
                <c:pt idx="0">
                  <c:v>Dec</c:v>
                </c:pt>
              </c:strCache>
            </c:strRef>
          </c:cat>
          <c:val>
            <c:numRef>
              <c:f>MVT!$C$4:$C$5</c:f>
              <c:numCache>
                <c:formatCode>General</c:formatCode>
                <c:ptCount val="1"/>
                <c:pt idx="0">
                  <c:v>651776841</c:v>
                </c:pt>
              </c:numCache>
            </c:numRef>
          </c:val>
          <c:smooth val="0"/>
          <c:extLst>
            <c:ext xmlns:c16="http://schemas.microsoft.com/office/drawing/2014/chart" uri="{C3380CC4-5D6E-409C-BE32-E72D297353CC}">
              <c16:uniqueId val="{00000001-46D1-4D2B-B0EF-52C2D433B9A3}"/>
            </c:ext>
          </c:extLst>
        </c:ser>
        <c:dLbls>
          <c:showLegendKey val="0"/>
          <c:showVal val="0"/>
          <c:showCatName val="0"/>
          <c:showSerName val="0"/>
          <c:showPercent val="0"/>
          <c:showBubbleSize val="0"/>
        </c:dLbls>
        <c:marker val="1"/>
        <c:smooth val="0"/>
        <c:axId val="1651538271"/>
        <c:axId val="1651531071"/>
      </c:lineChart>
      <c:catAx>
        <c:axId val="1651538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531071"/>
        <c:crosses val="autoZero"/>
        <c:auto val="1"/>
        <c:lblAlgn val="ctr"/>
        <c:lblOffset val="100"/>
        <c:noMultiLvlLbl val="0"/>
      </c:catAx>
      <c:valAx>
        <c:axId val="165153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53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PROJECT.xlsx]ZS.CC!PivotTable1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ZAMATO</a:t>
            </a:r>
            <a:r>
              <a:rPr lang="en-IN" baseline="0"/>
              <a:t> STOCK-COLUMN CHART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698"/>
          <c:y val="0.12860892388451445"/>
          <c:w val="0.65971959755030618"/>
          <c:h val="0.52130030621172352"/>
        </c:manualLayout>
      </c:layout>
      <c:bar3DChart>
        <c:barDir val="col"/>
        <c:grouping val="stacked"/>
        <c:varyColors val="0"/>
        <c:ser>
          <c:idx val="0"/>
          <c:order val="0"/>
          <c:tx>
            <c:strRef>
              <c:f>ZS.CC!$B$3</c:f>
              <c:strCache>
                <c:ptCount val="1"/>
                <c:pt idx="0">
                  <c:v>Sum of OPEN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ZS.CC!$B$4:$B$20</c:f>
              <c:numCache>
                <c:formatCode>General</c:formatCode>
                <c:ptCount val="13"/>
                <c:pt idx="0">
                  <c:v>281.89999999999998</c:v>
                </c:pt>
                <c:pt idx="1">
                  <c:v>279.7</c:v>
                </c:pt>
                <c:pt idx="2">
                  <c:v>283</c:v>
                </c:pt>
                <c:pt idx="3">
                  <c:v>304.7</c:v>
                </c:pt>
                <c:pt idx="4">
                  <c:v>296.75</c:v>
                </c:pt>
                <c:pt idx="5">
                  <c:v>290</c:v>
                </c:pt>
                <c:pt idx="6">
                  <c:v>289</c:v>
                </c:pt>
                <c:pt idx="7">
                  <c:v>295.5</c:v>
                </c:pt>
                <c:pt idx="8">
                  <c:v>297.7</c:v>
                </c:pt>
                <c:pt idx="9">
                  <c:v>273.89999999999998</c:v>
                </c:pt>
                <c:pt idx="10">
                  <c:v>274.5</c:v>
                </c:pt>
                <c:pt idx="11">
                  <c:v>271.25</c:v>
                </c:pt>
                <c:pt idx="12">
                  <c:v>278</c:v>
                </c:pt>
              </c:numCache>
            </c:numRef>
          </c:val>
          <c:extLst>
            <c:ext xmlns:c16="http://schemas.microsoft.com/office/drawing/2014/chart" uri="{C3380CC4-5D6E-409C-BE32-E72D297353CC}">
              <c16:uniqueId val="{00000000-4EDC-4688-B40D-1AE1BF3D0E96}"/>
            </c:ext>
          </c:extLst>
        </c:ser>
        <c:ser>
          <c:idx val="1"/>
          <c:order val="1"/>
          <c:tx>
            <c:strRef>
              <c:f>ZS.CC!$C$3</c:f>
              <c:strCache>
                <c:ptCount val="1"/>
                <c:pt idx="0">
                  <c:v>Sum of LOW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ZS.CC!$C$4:$C$20</c:f>
              <c:numCache>
                <c:formatCode>General</c:formatCode>
                <c:ptCount val="13"/>
                <c:pt idx="0">
                  <c:v>280.45</c:v>
                </c:pt>
                <c:pt idx="1">
                  <c:v>279</c:v>
                </c:pt>
                <c:pt idx="2">
                  <c:v>283</c:v>
                </c:pt>
                <c:pt idx="3">
                  <c:v>291.8</c:v>
                </c:pt>
                <c:pt idx="4">
                  <c:v>295</c:v>
                </c:pt>
                <c:pt idx="5">
                  <c:v>288.60000000000002</c:v>
                </c:pt>
                <c:pt idx="6">
                  <c:v>286.55</c:v>
                </c:pt>
                <c:pt idx="7">
                  <c:v>292.3</c:v>
                </c:pt>
                <c:pt idx="8">
                  <c:v>290</c:v>
                </c:pt>
                <c:pt idx="9">
                  <c:v>272</c:v>
                </c:pt>
                <c:pt idx="10">
                  <c:v>269.10000000000002</c:v>
                </c:pt>
                <c:pt idx="11">
                  <c:v>269.8</c:v>
                </c:pt>
                <c:pt idx="12">
                  <c:v>275</c:v>
                </c:pt>
              </c:numCache>
            </c:numRef>
          </c:val>
          <c:extLst>
            <c:ext xmlns:c16="http://schemas.microsoft.com/office/drawing/2014/chart" uri="{C3380CC4-5D6E-409C-BE32-E72D297353CC}">
              <c16:uniqueId val="{00000001-4EDC-4688-B40D-1AE1BF3D0E96}"/>
            </c:ext>
          </c:extLst>
        </c:ser>
        <c:ser>
          <c:idx val="2"/>
          <c:order val="2"/>
          <c:tx>
            <c:strRef>
              <c:f>ZS.CC!$D$3</c:f>
              <c:strCache>
                <c:ptCount val="1"/>
                <c:pt idx="0">
                  <c:v>Sum of HIGH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ZS.CC!$D$4:$D$20</c:f>
              <c:numCache>
                <c:formatCode>General</c:formatCode>
                <c:ptCount val="13"/>
                <c:pt idx="0">
                  <c:v>285.7</c:v>
                </c:pt>
                <c:pt idx="1">
                  <c:v>282.35000000000002</c:v>
                </c:pt>
                <c:pt idx="2">
                  <c:v>288</c:v>
                </c:pt>
                <c:pt idx="3">
                  <c:v>304.7</c:v>
                </c:pt>
                <c:pt idx="4">
                  <c:v>299.45</c:v>
                </c:pt>
                <c:pt idx="5">
                  <c:v>294.3</c:v>
                </c:pt>
                <c:pt idx="6">
                  <c:v>295.89999999999998</c:v>
                </c:pt>
                <c:pt idx="7">
                  <c:v>303.45</c:v>
                </c:pt>
                <c:pt idx="8">
                  <c:v>297.7</c:v>
                </c:pt>
                <c:pt idx="9">
                  <c:v>282.89999999999998</c:v>
                </c:pt>
                <c:pt idx="10">
                  <c:v>277</c:v>
                </c:pt>
                <c:pt idx="11">
                  <c:v>291.60000000000002</c:v>
                </c:pt>
                <c:pt idx="12">
                  <c:v>281.60000000000002</c:v>
                </c:pt>
              </c:numCache>
            </c:numRef>
          </c:val>
          <c:extLst>
            <c:ext xmlns:c16="http://schemas.microsoft.com/office/drawing/2014/chart" uri="{C3380CC4-5D6E-409C-BE32-E72D297353CC}">
              <c16:uniqueId val="{00000002-4EDC-4688-B40D-1AE1BF3D0E96}"/>
            </c:ext>
          </c:extLst>
        </c:ser>
        <c:ser>
          <c:idx val="3"/>
          <c:order val="3"/>
          <c:tx>
            <c:strRef>
              <c:f>ZS.CC!$E$3</c:f>
              <c:strCache>
                <c:ptCount val="1"/>
                <c:pt idx="0">
                  <c:v>Sum of close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ZS.CC!$A$4:$A$20</c:f>
              <c:multiLvlStrCache>
                <c:ptCount val="13"/>
                <c:lvl>
                  <c:pt idx="0">
                    <c:v>02-12-2024</c:v>
                  </c:pt>
                  <c:pt idx="1">
                    <c:v>03-12-2024</c:v>
                  </c:pt>
                  <c:pt idx="2">
                    <c:v>04-12-2024</c:v>
                  </c:pt>
                  <c:pt idx="3">
                    <c:v>09-12-2024</c:v>
                  </c:pt>
                  <c:pt idx="4">
                    <c:v>10-12-2024</c:v>
                  </c:pt>
                  <c:pt idx="5">
                    <c:v>11-12-2024</c:v>
                  </c:pt>
                  <c:pt idx="6">
                    <c:v>16-12-2024</c:v>
                  </c:pt>
                  <c:pt idx="7">
                    <c:v>17-12-2024</c:v>
                  </c:pt>
                  <c:pt idx="8">
                    <c:v>18-12-2024</c:v>
                  </c:pt>
                  <c:pt idx="9">
                    <c:v>23-12-2024</c:v>
                  </c:pt>
                  <c:pt idx="10">
                    <c:v>24-12-2024</c:v>
                  </c:pt>
                  <c:pt idx="11">
                    <c:v>30-12-2024</c:v>
                  </c:pt>
                  <c:pt idx="12">
                    <c:v>31-12-2024</c:v>
                  </c:pt>
                </c:lvl>
                <c:lvl>
                  <c:pt idx="0">
                    <c:v>Dec</c:v>
                  </c:pt>
                </c:lvl>
                <c:lvl>
                  <c:pt idx="0">
                    <c:v>Qtr4</c:v>
                  </c:pt>
                </c:lvl>
                <c:lvl>
                  <c:pt idx="0">
                    <c:v>2024</c:v>
                  </c:pt>
                </c:lvl>
              </c:multiLvlStrCache>
            </c:multiLvlStrRef>
          </c:cat>
          <c:val>
            <c:numRef>
              <c:f>ZS.CC!$E$4:$E$20</c:f>
              <c:numCache>
                <c:formatCode>General</c:formatCode>
                <c:ptCount val="13"/>
                <c:pt idx="0">
                  <c:v>282.5</c:v>
                </c:pt>
                <c:pt idx="1">
                  <c:v>279.85000000000002</c:v>
                </c:pt>
                <c:pt idx="2">
                  <c:v>286.25</c:v>
                </c:pt>
                <c:pt idx="3">
                  <c:v>295.3</c:v>
                </c:pt>
                <c:pt idx="4">
                  <c:v>295.85000000000002</c:v>
                </c:pt>
                <c:pt idx="5">
                  <c:v>291.8</c:v>
                </c:pt>
                <c:pt idx="6">
                  <c:v>294.14999999999998</c:v>
                </c:pt>
                <c:pt idx="7">
                  <c:v>296.8</c:v>
                </c:pt>
                <c:pt idx="8">
                  <c:v>291.89999999999998</c:v>
                </c:pt>
                <c:pt idx="9">
                  <c:v>273.95</c:v>
                </c:pt>
                <c:pt idx="10">
                  <c:v>274.85000000000002</c:v>
                </c:pt>
                <c:pt idx="11">
                  <c:v>282.10000000000002</c:v>
                </c:pt>
                <c:pt idx="12">
                  <c:v>278.05</c:v>
                </c:pt>
              </c:numCache>
            </c:numRef>
          </c:val>
          <c:extLst>
            <c:ext xmlns:c16="http://schemas.microsoft.com/office/drawing/2014/chart" uri="{C3380CC4-5D6E-409C-BE32-E72D297353CC}">
              <c16:uniqueId val="{00000003-4EDC-4688-B40D-1AE1BF3D0E96}"/>
            </c:ext>
          </c:extLst>
        </c:ser>
        <c:dLbls>
          <c:showLegendKey val="0"/>
          <c:showVal val="0"/>
          <c:showCatName val="0"/>
          <c:showSerName val="0"/>
          <c:showPercent val="0"/>
          <c:showBubbleSize val="0"/>
        </c:dLbls>
        <c:gapWidth val="150"/>
        <c:shape val="box"/>
        <c:axId val="2023534047"/>
        <c:axId val="2023522527"/>
        <c:axId val="0"/>
      </c:bar3DChart>
      <c:catAx>
        <c:axId val="20235340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522527"/>
        <c:crosses val="autoZero"/>
        <c:auto val="1"/>
        <c:lblAlgn val="ctr"/>
        <c:lblOffset val="100"/>
        <c:noMultiLvlLbl val="0"/>
      </c:catAx>
      <c:valAx>
        <c:axId val="20235225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53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PROJECT.xlsx]52W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MONTLY</a:t>
            </a:r>
            <a:r>
              <a:rPr lang="en-IN" baseline="0"/>
              <a:t> 52W HIGH-LOW ANALYSIS</a:t>
            </a:r>
          </a:p>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1"/>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834311542569416E-2"/>
          <c:y val="0.21806136301927775"/>
          <c:w val="0.67375914552625482"/>
          <c:h val="0.59735393577370233"/>
        </c:manualLayout>
      </c:layout>
      <c:surface3DChart>
        <c:wireframe val="0"/>
        <c:ser>
          <c:idx val="0"/>
          <c:order val="0"/>
          <c:tx>
            <c:strRef>
              <c:f>'52W ANALYSIS'!$B$3</c:f>
              <c:strCache>
                <c:ptCount val="1"/>
                <c:pt idx="0">
                  <c:v>Sum of 52W 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'52W ANALYSIS'!$A$4:$A$5</c:f>
              <c:strCache>
                <c:ptCount val="1"/>
                <c:pt idx="0">
                  <c:v>Dec</c:v>
                </c:pt>
              </c:strCache>
            </c:strRef>
          </c:cat>
          <c:val>
            <c:numRef>
              <c:f>'52W ANALYSIS'!$B$4:$B$5</c:f>
              <c:numCache>
                <c:formatCode>General</c:formatCode>
                <c:ptCount val="1"/>
                <c:pt idx="0">
                  <c:v>3941.7499999999991</c:v>
                </c:pt>
              </c:numCache>
            </c:numRef>
          </c:val>
          <c:extLst>
            <c:ext xmlns:c16="http://schemas.microsoft.com/office/drawing/2014/chart" uri="{C3380CC4-5D6E-409C-BE32-E72D297353CC}">
              <c16:uniqueId val="{00000000-D413-4E40-BCAF-BBA9A860BC23}"/>
            </c:ext>
          </c:extLst>
        </c:ser>
        <c:ser>
          <c:idx val="1"/>
          <c:order val="1"/>
          <c:tx>
            <c:strRef>
              <c:f>'52W ANALYSIS'!$C$3</c:f>
              <c:strCache>
                <c:ptCount val="1"/>
                <c:pt idx="0">
                  <c:v>Sum of 52W L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'52W ANALYSIS'!$A$4:$A$5</c:f>
              <c:strCache>
                <c:ptCount val="1"/>
                <c:pt idx="0">
                  <c:v>Dec</c:v>
                </c:pt>
              </c:strCache>
            </c:strRef>
          </c:cat>
          <c:val>
            <c:numRef>
              <c:f>'52W ANALYSIS'!$C$4:$C$5</c:f>
              <c:numCache>
                <c:formatCode>General</c:formatCode>
                <c:ptCount val="1"/>
                <c:pt idx="0">
                  <c:v>1529.8999999999996</c:v>
                </c:pt>
              </c:numCache>
            </c:numRef>
          </c:val>
          <c:extLst>
            <c:ext xmlns:c16="http://schemas.microsoft.com/office/drawing/2014/chart" uri="{C3380CC4-5D6E-409C-BE32-E72D297353CC}">
              <c16:uniqueId val="{00000001-D413-4E40-BCAF-BBA9A860BC23}"/>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1914155504"/>
        <c:axId val="1914158864"/>
        <c:axId val="1027531487"/>
      </c:surface3DChart>
      <c:catAx>
        <c:axId val="1914155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8864"/>
        <c:crosses val="autoZero"/>
        <c:auto val="1"/>
        <c:lblAlgn val="ctr"/>
        <c:lblOffset val="100"/>
        <c:noMultiLvlLbl val="0"/>
      </c:catAx>
      <c:valAx>
        <c:axId val="1914158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5504"/>
        <c:crosses val="autoZero"/>
        <c:crossBetween val="midCat"/>
      </c:valAx>
      <c:serAx>
        <c:axId val="1027531487"/>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1588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[SHEETAL STOCK MARKET PROJECT.xlsx]KPI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KPI</a:t>
            </a:r>
            <a:r>
              <a:rPr lang="en-IN" baseline="0"/>
              <a:t> - KEY PERFORMANCE INDICATORS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'!$B$3</c:f>
              <c:strCache>
                <c:ptCount val="1"/>
                <c:pt idx="0">
                  <c:v>Sum of 52W H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'!$B$4:$B$5</c:f>
              <c:numCache>
                <c:formatCode>General</c:formatCode>
                <c:ptCount val="1"/>
                <c:pt idx="0">
                  <c:v>3941.7499999999991</c:v>
                </c:pt>
              </c:numCache>
            </c:numRef>
          </c:val>
          <c:smooth val="0"/>
          <c:extLst>
            <c:ext xmlns:c16="http://schemas.microsoft.com/office/drawing/2014/chart" uri="{C3380CC4-5D6E-409C-BE32-E72D297353CC}">
              <c16:uniqueId val="{00000000-5581-4690-ADC4-827F53EAFACB}"/>
            </c:ext>
          </c:extLst>
        </c:ser>
        <c:ser>
          <c:idx val="1"/>
          <c:order val="1"/>
          <c:tx>
            <c:strRef>
              <c:f>'KPI '!$C$3</c:f>
              <c:strCache>
                <c:ptCount val="1"/>
                <c:pt idx="0">
                  <c:v>Sum of 52W L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'!$C$4:$C$5</c:f>
              <c:numCache>
                <c:formatCode>General</c:formatCode>
                <c:ptCount val="1"/>
                <c:pt idx="0">
                  <c:v>1529.8999999999996</c:v>
                </c:pt>
              </c:numCache>
            </c:numRef>
          </c:val>
          <c:smooth val="0"/>
          <c:extLst>
            <c:ext xmlns:c16="http://schemas.microsoft.com/office/drawing/2014/chart" uri="{C3380CC4-5D6E-409C-BE32-E72D297353CC}">
              <c16:uniqueId val="{00000001-5581-4690-ADC4-827F53EAFACB}"/>
            </c:ext>
          </c:extLst>
        </c:ser>
        <c:ser>
          <c:idx val="2"/>
          <c:order val="2"/>
          <c:tx>
            <c:strRef>
              <c:f>'KPI '!$D$3</c:f>
              <c:strCache>
                <c:ptCount val="1"/>
                <c:pt idx="0">
                  <c:v>Average of VOLUME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'!$D$4:$D$5</c:f>
              <c:numCache>
                <c:formatCode>#,##0</c:formatCode>
                <c:ptCount val="1"/>
                <c:pt idx="0">
                  <c:v>50136680.07692308</c:v>
                </c:pt>
              </c:numCache>
            </c:numRef>
          </c:val>
          <c:smooth val="0"/>
          <c:extLst>
            <c:ext xmlns:c16="http://schemas.microsoft.com/office/drawing/2014/chart" uri="{C3380CC4-5D6E-409C-BE32-E72D297353CC}">
              <c16:uniqueId val="{00000002-5581-4690-ADC4-827F53EAFACB}"/>
            </c:ext>
          </c:extLst>
        </c:ser>
        <c:ser>
          <c:idx val="3"/>
          <c:order val="3"/>
          <c:tx>
            <c:strRef>
              <c:f>'KPI '!$E$3</c:f>
              <c:strCache>
                <c:ptCount val="1"/>
                <c:pt idx="0">
                  <c:v>Sum of close </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'KPI '!$A$4:$A$5</c:f>
              <c:strCache>
                <c:ptCount val="1"/>
                <c:pt idx="0">
                  <c:v>Dec</c:v>
                </c:pt>
              </c:strCache>
            </c:strRef>
          </c:cat>
          <c:val>
            <c:numRef>
              <c:f>'KPI '!$E$4:$E$5</c:f>
              <c:numCache>
                <c:formatCode>General</c:formatCode>
                <c:ptCount val="1"/>
                <c:pt idx="0">
                  <c:v>3723.35</c:v>
                </c:pt>
              </c:numCache>
            </c:numRef>
          </c:val>
          <c:smooth val="0"/>
          <c:extLst>
            <c:ext xmlns:c16="http://schemas.microsoft.com/office/drawing/2014/chart" uri="{C3380CC4-5D6E-409C-BE32-E72D297353CC}">
              <c16:uniqueId val="{00000003-5581-4690-ADC4-827F53EAFACB}"/>
            </c:ext>
          </c:extLst>
        </c:ser>
        <c:dLbls>
          <c:showLegendKey val="0"/>
          <c:showVal val="0"/>
          <c:showCatName val="0"/>
          <c:showSerName val="0"/>
          <c:showPercent val="0"/>
          <c:showBubbleSize val="0"/>
        </c:dLbls>
        <c:marker val="1"/>
        <c:smooth val="0"/>
        <c:axId val="2077630704"/>
        <c:axId val="2077630224"/>
      </c:lineChart>
      <c:catAx>
        <c:axId val="20776307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630224"/>
        <c:crosses val="autoZero"/>
        <c:auto val="1"/>
        <c:lblAlgn val="ctr"/>
        <c:lblOffset val="100"/>
        <c:noMultiLvlLbl val="0"/>
      </c:catAx>
      <c:valAx>
        <c:axId val="207763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63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2</xdr:rowOff>
    </xdr:from>
    <xdr:to>
      <xdr:col>5</xdr:col>
      <xdr:colOff>438150</xdr:colOff>
      <xdr:row>19</xdr:row>
      <xdr:rowOff>123825</xdr:rowOff>
    </xdr:to>
    <xdr:graphicFrame macro="">
      <xdr:nvGraphicFramePr>
        <xdr:cNvPr id="3" name="Chart 2">
          <a:extLst>
            <a:ext uri="{FF2B5EF4-FFF2-40B4-BE49-F238E27FC236}">
              <a16:creationId xmlns:a16="http://schemas.microsoft.com/office/drawing/2014/main" id="{EF3FD4EF-B5A9-4534-A11E-855EA36F6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6</xdr:row>
      <xdr:rowOff>152402</xdr:rowOff>
    </xdr:from>
    <xdr:to>
      <xdr:col>12</xdr:col>
      <xdr:colOff>514350</xdr:colOff>
      <xdr:row>19</xdr:row>
      <xdr:rowOff>123825</xdr:rowOff>
    </xdr:to>
    <xdr:graphicFrame macro="">
      <xdr:nvGraphicFramePr>
        <xdr:cNvPr id="4" name="Chart 3">
          <a:extLst>
            <a:ext uri="{FF2B5EF4-FFF2-40B4-BE49-F238E27FC236}">
              <a16:creationId xmlns:a16="http://schemas.microsoft.com/office/drawing/2014/main" id="{9EF5454F-D308-4E5D-BE71-C0AA4E1EE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581025</xdr:colOff>
      <xdr:row>6</xdr:row>
      <xdr:rowOff>95251</xdr:rowOff>
    </xdr:from>
    <xdr:to>
      <xdr:col>20</xdr:col>
      <xdr:colOff>314325</xdr:colOff>
      <xdr:row>19</xdr:row>
      <xdr:rowOff>104776</xdr:rowOff>
    </xdr:to>
    <xdr:graphicFrame macro="">
      <xdr:nvGraphicFramePr>
        <xdr:cNvPr id="5" name="Chart 4">
          <a:extLst>
            <a:ext uri="{FF2B5EF4-FFF2-40B4-BE49-F238E27FC236}">
              <a16:creationId xmlns:a16="http://schemas.microsoft.com/office/drawing/2014/main" id="{BB3B1114-934C-4E5D-9A54-EF7DE7257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104776</xdr:colOff>
      <xdr:row>20</xdr:row>
      <xdr:rowOff>38100</xdr:rowOff>
    </xdr:from>
    <xdr:to>
      <xdr:col>20</xdr:col>
      <xdr:colOff>314325</xdr:colOff>
      <xdr:row>32</xdr:row>
      <xdr:rowOff>180975</xdr:rowOff>
    </xdr:to>
    <xdr:graphicFrame macro="">
      <xdr:nvGraphicFramePr>
        <xdr:cNvPr id="6" name="Chart 5">
          <a:extLst>
            <a:ext uri="{FF2B5EF4-FFF2-40B4-BE49-F238E27FC236}">
              <a16:creationId xmlns:a16="http://schemas.microsoft.com/office/drawing/2014/main" id="{BECEA6ED-CEB5-41A3-8647-C618C5692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28576</xdr:rowOff>
    </xdr:from>
    <xdr:to>
      <xdr:col>9</xdr:col>
      <xdr:colOff>0</xdr:colOff>
      <xdr:row>32</xdr:row>
      <xdr:rowOff>180976</xdr:rowOff>
    </xdr:to>
    <xdr:graphicFrame macro="">
      <xdr:nvGraphicFramePr>
        <xdr:cNvPr id="7" name="Chart 6">
          <a:extLst>
            <a:ext uri="{FF2B5EF4-FFF2-40B4-BE49-F238E27FC236}">
              <a16:creationId xmlns:a16="http://schemas.microsoft.com/office/drawing/2014/main" id="{313811DA-D241-41C2-A3CB-89D31F47F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20</xdr:col>
      <xdr:colOff>304800</xdr:colOff>
      <xdr:row>4</xdr:row>
      <xdr:rowOff>0</xdr:rowOff>
    </xdr:to>
    <xdr:sp macro="" textlink="">
      <xdr:nvSpPr>
        <xdr:cNvPr id="8" name="Rectangle 7">
          <a:extLst>
            <a:ext uri="{FF2B5EF4-FFF2-40B4-BE49-F238E27FC236}">
              <a16:creationId xmlns:a16="http://schemas.microsoft.com/office/drawing/2014/main" id="{06B203FE-72F5-8C21-D70D-0EEF57EE2BB9}"/>
            </a:ext>
          </a:extLst>
        </xdr:cNvPr>
        <xdr:cNvSpPr/>
      </xdr:nvSpPr>
      <xdr:spPr>
        <a:xfrm>
          <a:off x="0" y="0"/>
          <a:ext cx="12496800" cy="762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0</xdr:rowOff>
    </xdr:from>
    <xdr:to>
      <xdr:col>16</xdr:col>
      <xdr:colOff>609599</xdr:colOff>
      <xdr:row>4</xdr:row>
      <xdr:rowOff>9526</xdr:rowOff>
    </xdr:to>
    <xdr:sp macro="" textlink="">
      <xdr:nvSpPr>
        <xdr:cNvPr id="9" name="TextBox 8">
          <a:extLst>
            <a:ext uri="{FF2B5EF4-FFF2-40B4-BE49-F238E27FC236}">
              <a16:creationId xmlns:a16="http://schemas.microsoft.com/office/drawing/2014/main" id="{F263F437-B94B-99C1-0B62-4FBF955027FC}"/>
            </a:ext>
          </a:extLst>
        </xdr:cNvPr>
        <xdr:cNvSpPr txBox="1"/>
      </xdr:nvSpPr>
      <xdr:spPr>
        <a:xfrm>
          <a:off x="2438400" y="0"/>
          <a:ext cx="7924799" cy="77152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ZOMATO</a:t>
          </a:r>
          <a:r>
            <a:rPr lang="en-IN" sz="3200" b="1" baseline="0">
              <a:solidFill>
                <a:schemeClr val="bg1"/>
              </a:solidFill>
            </a:rPr>
            <a:t> ORDER PERFORMANCE TRACKER</a:t>
          </a:r>
          <a:endParaRPr lang="en-IN" sz="3200" b="1">
            <a:solidFill>
              <a:schemeClr val="bg1"/>
            </a:solidFill>
          </a:endParaRPr>
        </a:p>
      </xdr:txBody>
    </xdr:sp>
    <xdr:clientData/>
  </xdr:twoCellAnchor>
  <xdr:twoCellAnchor>
    <xdr:from>
      <xdr:col>0</xdr:col>
      <xdr:colOff>28575</xdr:colOff>
      <xdr:row>0</xdr:row>
      <xdr:rowOff>0</xdr:rowOff>
    </xdr:from>
    <xdr:to>
      <xdr:col>20</xdr:col>
      <xdr:colOff>333375</xdr:colOff>
      <xdr:row>3</xdr:row>
      <xdr:rowOff>180975</xdr:rowOff>
    </xdr:to>
    <xdr:sp macro="" textlink="">
      <xdr:nvSpPr>
        <xdr:cNvPr id="14" name="Rectangle 13">
          <a:extLst>
            <a:ext uri="{FF2B5EF4-FFF2-40B4-BE49-F238E27FC236}">
              <a16:creationId xmlns:a16="http://schemas.microsoft.com/office/drawing/2014/main" id="{83B7EB89-91B6-B144-2FB7-B3B5DEA9A39C}"/>
            </a:ext>
          </a:extLst>
        </xdr:cNvPr>
        <xdr:cNvSpPr/>
      </xdr:nvSpPr>
      <xdr:spPr>
        <a:xfrm>
          <a:off x="28575" y="0"/>
          <a:ext cx="12496800" cy="7524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ZOMATO</a:t>
          </a:r>
          <a:r>
            <a:rPr lang="en-IN" sz="3600" b="1" baseline="0"/>
            <a:t> ORDER PERFORMANCE TRACKING</a:t>
          </a:r>
          <a:endParaRPr lang="en-IN" sz="3600" b="1"/>
        </a:p>
      </xdr:txBody>
    </xdr:sp>
    <xdr:clientData/>
  </xdr:twoCellAnchor>
  <xdr:twoCellAnchor editAs="oneCell">
    <xdr:from>
      <xdr:col>0</xdr:col>
      <xdr:colOff>0</xdr:colOff>
      <xdr:row>4</xdr:row>
      <xdr:rowOff>0</xdr:rowOff>
    </xdr:from>
    <xdr:to>
      <xdr:col>4</xdr:col>
      <xdr:colOff>0</xdr:colOff>
      <xdr:row>6</xdr:row>
      <xdr:rowOff>85725</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A678080E-C99E-4D57-B826-D14320A9AB5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62000"/>
              <a:ext cx="2438400" cy="46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28574</xdr:colOff>
      <xdr:row>4</xdr:row>
      <xdr:rowOff>28576</xdr:rowOff>
    </xdr:from>
    <xdr:to>
      <xdr:col>13</xdr:col>
      <xdr:colOff>276225</xdr:colOff>
      <xdr:row>6</xdr:row>
      <xdr:rowOff>76199</xdr:rowOff>
    </xdr:to>
    <mc:AlternateContent xmlns:mc="http://schemas.openxmlformats.org/markup-compatibility/2006">
      <mc:Choice xmlns:a14="http://schemas.microsoft.com/office/drawing/2010/main" Requires="a14">
        <xdr:graphicFrame macro="">
          <xdr:nvGraphicFramePr>
            <xdr:cNvPr id="15" name="month 1">
              <a:extLst>
                <a:ext uri="{FF2B5EF4-FFF2-40B4-BE49-F238E27FC236}">
                  <a16:creationId xmlns:a16="http://schemas.microsoft.com/office/drawing/2014/main" id="{2E35153A-8310-4046-B717-D526C032891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466974" y="790576"/>
              <a:ext cx="5734051" cy="428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295275</xdr:colOff>
      <xdr:row>3</xdr:row>
      <xdr:rowOff>180975</xdr:rowOff>
    </xdr:from>
    <xdr:to>
      <xdr:col>20</xdr:col>
      <xdr:colOff>314326</xdr:colOff>
      <xdr:row>6</xdr:row>
      <xdr:rowOff>95251</xdr:rowOff>
    </xdr:to>
    <mc:AlternateContent xmlns:mc="http://schemas.openxmlformats.org/markup-compatibility/2006" xmlns:a14="http://schemas.microsoft.com/office/drawing/2010/main">
      <mc:Choice Requires="a14">
        <xdr:graphicFrame macro="">
          <xdr:nvGraphicFramePr>
            <xdr:cNvPr id="16" name="day 1">
              <a:extLst>
                <a:ext uri="{FF2B5EF4-FFF2-40B4-BE49-F238E27FC236}">
                  <a16:creationId xmlns:a16="http://schemas.microsoft.com/office/drawing/2014/main" id="{7610F1BB-4047-4981-A559-C2C887758758}"/>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220075" y="752475"/>
              <a:ext cx="4286251" cy="485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xdr:colOff>
      <xdr:row>1</xdr:row>
      <xdr:rowOff>104775</xdr:rowOff>
    </xdr:from>
    <xdr:to>
      <xdr:col>11</xdr:col>
      <xdr:colOff>438150</xdr:colOff>
      <xdr:row>18</xdr:row>
      <xdr:rowOff>28574</xdr:rowOff>
    </xdr:to>
    <xdr:graphicFrame macro="">
      <xdr:nvGraphicFramePr>
        <xdr:cNvPr id="2" name="Chart 1">
          <a:extLst>
            <a:ext uri="{FF2B5EF4-FFF2-40B4-BE49-F238E27FC236}">
              <a16:creationId xmlns:a16="http://schemas.microsoft.com/office/drawing/2014/main" id="{77C32E7A-E7B0-540C-A617-60DEFFF5B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219075</xdr:colOff>
      <xdr:row>3</xdr:row>
      <xdr:rowOff>85725</xdr:rowOff>
    </xdr:from>
    <xdr:to>
      <xdr:col>15</xdr:col>
      <xdr:colOff>219075</xdr:colOff>
      <xdr:row>5</xdr:row>
      <xdr:rowOff>171450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EFF41F4-431E-DF47-3472-24ACE06114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53425" y="657225"/>
              <a:ext cx="1828800" cy="46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590550</xdr:colOff>
      <xdr:row>12</xdr:row>
      <xdr:rowOff>76200</xdr:rowOff>
    </xdr:from>
    <xdr:to>
      <xdr:col>17</xdr:col>
      <xdr:colOff>590550</xdr:colOff>
      <xdr:row>16</xdr:row>
      <xdr:rowOff>76200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BAC771A6-A398-2D34-C9E5-2D7FDC170DA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15300" y="2362200"/>
              <a:ext cx="36576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133350</xdr:colOff>
      <xdr:row>7</xdr:row>
      <xdr:rowOff>28575</xdr:rowOff>
    </xdr:from>
    <xdr:to>
      <xdr:col>16</xdr:col>
      <xdr:colOff>133349</xdr:colOff>
      <xdr:row>11</xdr:row>
      <xdr:rowOff>76200</xdr:rowOff>
    </xdr:to>
    <mc:AlternateContent xmlns:mc="http://schemas.openxmlformats.org/markup-compatibility/2006" xmlns:a14="http://schemas.microsoft.com/office/drawing/2010/main">
      <mc:Choice Requires="a14">
        <xdr:graphicFrame macro="">
          <xdr:nvGraphicFramePr>
            <xdr:cNvPr id="6" name="day">
              <a:extLst>
                <a:ext uri="{FF2B5EF4-FFF2-40B4-BE49-F238E27FC236}">
                  <a16:creationId xmlns:a16="http://schemas.microsoft.com/office/drawing/2014/main" id="{2E2468DE-5976-82E3-CC82-DE816E9934F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267700" y="1362075"/>
              <a:ext cx="2438399"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23812</xdr:rowOff>
    </xdr:from>
    <xdr:to>
      <xdr:col>8</xdr:col>
      <xdr:colOff>228600</xdr:colOff>
      <xdr:row>16</xdr:row>
      <xdr:rowOff>100012</xdr:rowOff>
    </xdr:to>
    <xdr:graphicFrame macro="">
      <xdr:nvGraphicFramePr>
        <xdr:cNvPr id="2" name="Chart 1">
          <a:extLst>
            <a:ext uri="{FF2B5EF4-FFF2-40B4-BE49-F238E27FC236}">
              <a16:creationId xmlns:a16="http://schemas.microsoft.com/office/drawing/2014/main" id="{FD2D902A-FB80-056A-2B39-B4217A88F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19051</xdr:colOff>
      <xdr:row>3</xdr:row>
      <xdr:rowOff>0</xdr:rowOff>
    </xdr:from>
    <xdr:to>
      <xdr:col>15</xdr:col>
      <xdr:colOff>276225</xdr:colOff>
      <xdr:row>22</xdr:row>
      <xdr:rowOff>19050</xdr:rowOff>
    </xdr:to>
    <xdr:graphicFrame macro="">
      <xdr:nvGraphicFramePr>
        <xdr:cNvPr id="2" name="Chart 1">
          <a:extLst>
            <a:ext uri="{FF2B5EF4-FFF2-40B4-BE49-F238E27FC236}">
              <a16:creationId xmlns:a16="http://schemas.microsoft.com/office/drawing/2014/main" id="{69E9C69C-305A-E2E2-AF39-CB6FACD81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333374</xdr:colOff>
      <xdr:row>2</xdr:row>
      <xdr:rowOff>180974</xdr:rowOff>
    </xdr:from>
    <xdr:to>
      <xdr:col>14</xdr:col>
      <xdr:colOff>333375</xdr:colOff>
      <xdr:row>18</xdr:row>
      <xdr:rowOff>171449</xdr:rowOff>
    </xdr:to>
    <xdr:graphicFrame macro="">
      <xdr:nvGraphicFramePr>
        <xdr:cNvPr id="2" name="Chart 1">
          <a:extLst>
            <a:ext uri="{FF2B5EF4-FFF2-40B4-BE49-F238E27FC236}">
              <a16:creationId xmlns:a16="http://schemas.microsoft.com/office/drawing/2014/main" id="{C16C7B53-0AE8-F069-BB9A-4D1A3DB78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371475</xdr:colOff>
      <xdr:row>1</xdr:row>
      <xdr:rowOff>142876</xdr:rowOff>
    </xdr:from>
    <xdr:to>
      <xdr:col>14</xdr:col>
      <xdr:colOff>523875</xdr:colOff>
      <xdr:row>16</xdr:row>
      <xdr:rowOff>171450</xdr:rowOff>
    </xdr:to>
    <xdr:graphicFrame macro="">
      <xdr:nvGraphicFramePr>
        <xdr:cNvPr id="2" name="Chart 1">
          <a:extLst>
            <a:ext uri="{FF2B5EF4-FFF2-40B4-BE49-F238E27FC236}">
              <a16:creationId xmlns:a16="http://schemas.microsoft.com/office/drawing/2014/main" id="{192ABADA-4172-3A93-7DB7-4FA570BE4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85.703035648148" createdVersion="8" refreshedVersion="8" minRefreshableVersion="3" recordCount="249" xr:uid="{85087DCC-EF43-41D3-A6B9-4A9BA60A4C2C}">
  <cacheSource type="worksheet">
    <worksheetSource name="Table1"/>
  </cacheSource>
  <cacheFields count="20">
    <cacheField name="Date " numFmtId="15">
      <sharedItems containsSemiMixedTypes="0" containsNonDate="0" containsDate="1" containsString="0" minDate="2024-04-01T00:00:00" maxDate="2025-03-29T00:00:00" count="249">
        <d v="2025-03-28T00:00:00"/>
        <d v="2025-03-27T00:00:00"/>
        <d v="2025-03-26T00:00:00"/>
        <d v="2025-03-25T00:00:00"/>
        <d v="2025-03-24T00:00:00"/>
        <d v="2025-03-21T00:00:00"/>
        <d v="2025-03-20T00:00:00"/>
        <d v="2025-03-19T00:00:00"/>
        <d v="2025-03-18T00:00:00"/>
        <d v="2025-03-17T00:00:00"/>
        <d v="2025-03-13T00:00:00"/>
        <d v="2025-03-12T00:00:00"/>
        <d v="2025-03-11T00:00:00"/>
        <d v="2025-03-10T00:00:00"/>
        <d v="2025-03-07T00:00:00"/>
        <d v="2025-03-06T00:00:00"/>
        <d v="2025-03-05T00:00:00"/>
        <d v="2025-03-04T00:00:00"/>
        <d v="2025-03-03T00:00:00"/>
        <d v="2025-02-28T00:00:00"/>
        <d v="2025-02-27T00:00:00"/>
        <d v="2025-02-25T00:00:00"/>
        <d v="2025-02-24T00:00:00"/>
        <d v="2025-02-21T00:00:00"/>
        <d v="2025-02-20T00:00:00"/>
        <d v="2025-02-19T00:00:00"/>
        <d v="2025-02-18T00:00:00"/>
        <d v="2025-02-17T00:00:00"/>
        <d v="2025-02-14T00:00:00"/>
        <d v="2025-02-13T00:00:00"/>
        <d v="2025-02-12T00:00:00"/>
        <d v="2025-02-11T00:00:00"/>
        <d v="2025-02-10T00:00:00"/>
        <d v="2025-02-07T00:00:00"/>
        <d v="2025-02-06T00:00:00"/>
        <d v="2025-02-05T00:00:00"/>
        <d v="2025-02-04T00:00:00"/>
        <d v="2025-02-03T00:00:00"/>
        <d v="2025-02-01T00:00:00"/>
        <d v="2025-01-31T00:00:00"/>
        <d v="2025-01-30T00:00:00"/>
        <d v="2025-01-29T00:00:00"/>
        <d v="2025-01-28T00:00:00"/>
        <d v="2025-01-27T00:00:00"/>
        <d v="2025-01-24T00:00:00"/>
        <d v="2025-01-23T00:00:00"/>
        <d v="2025-01-22T00:00:00"/>
        <d v="2025-01-21T00:00:00"/>
        <d v="2025-01-20T00:00:00"/>
        <d v="2025-01-17T00:00:00"/>
        <d v="2025-01-16T00:00:00"/>
        <d v="2025-01-15T00:00:00"/>
        <d v="2025-01-14T00:00:00"/>
        <d v="2025-01-13T00:00:00"/>
        <d v="2025-01-10T00:00:00"/>
        <d v="2025-01-09T00:00:00"/>
        <d v="2025-01-08T00:00:00"/>
        <d v="2025-01-07T00:00:00"/>
        <d v="2025-01-06T00:00:00"/>
        <d v="2025-01-03T00:00:00"/>
        <d v="2025-01-02T00:00:00"/>
        <d v="2025-01-01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6T00:00:00"/>
        <d v="2024-12-05T00:00:00"/>
        <d v="2024-12-04T00:00:00"/>
        <d v="2024-12-03T00:00:00"/>
        <d v="2024-12-02T00:00:00"/>
        <d v="2024-11-29T00:00:00"/>
        <d v="2024-11-28T00:00:00"/>
        <d v="2024-11-27T00:00:00"/>
        <d v="2024-11-26T00:00:00"/>
        <d v="2024-11-25T00:00:00"/>
        <d v="2024-11-22T00:00:00"/>
        <d v="2024-11-21T00:00:00"/>
        <d v="2024-11-19T00:00:00"/>
        <d v="2024-11-18T00:00:00"/>
        <d v="2024-11-14T00:00:00"/>
        <d v="2024-11-13T00:00:00"/>
        <d v="2024-11-12T00:00:00"/>
        <d v="2024-11-11T00:00:00"/>
        <d v="2024-11-08T00:00:00"/>
        <d v="2024-11-07T00:00:00"/>
        <d v="2024-11-06T00:00:00"/>
        <d v="2024-11-05T00:00:00"/>
        <d v="2024-11-04T00:00:00"/>
        <d v="2024-11-01T00:00:00"/>
        <d v="2024-10-31T00:00:00"/>
        <d v="2024-10-30T00:00:00"/>
        <d v="2024-10-29T00:00:00"/>
        <d v="2024-10-28T00:00:00"/>
        <d v="2024-10-25T00:00:00"/>
        <d v="2024-10-24T00:00:00"/>
        <d v="2024-10-23T00:00:00"/>
        <d v="2024-10-22T00:00:00"/>
        <d v="2024-10-21T00:00:00"/>
        <d v="2024-10-18T00:00:00"/>
        <d v="2024-10-17T00:00:00"/>
        <d v="2024-10-16T00:00:00"/>
        <d v="2024-10-15T00:00:00"/>
        <d v="2024-10-14T00:00:00"/>
        <d v="2024-10-11T00:00:00"/>
        <d v="2024-10-10T00:00:00"/>
        <d v="2024-10-09T00:00:00"/>
        <d v="2024-10-08T00:00:00"/>
        <d v="2024-10-07T00:00:00"/>
        <d v="2024-10-04T00:00:00"/>
        <d v="2024-10-03T00:00:00"/>
        <d v="2024-10-01T00:00:00"/>
        <d v="2024-09-30T00:00:00"/>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18T00:00:00"/>
        <d v="2024-05-17T00:00:00"/>
        <d v="2024-05-16T00:00:00"/>
        <d v="2024-05-15T00:00:00"/>
        <d v="2024-05-14T00:00:00"/>
        <d v="2024-05-13T00:00:00"/>
        <d v="2024-05-10T00:00:00"/>
        <d v="2024-05-09T00:00:00"/>
        <d v="2024-05-08T00:00:00"/>
        <d v="2024-05-07T00:00:00"/>
        <d v="2024-05-06T00:00:00"/>
        <d v="2024-05-03T00:00:00"/>
        <d v="2024-05-02T00:00:00"/>
        <d v="2024-04-30T00:00:00"/>
        <d v="2024-04-29T00:00:00"/>
        <d v="2024-04-26T00:00:00"/>
        <d v="2024-04-25T00:00:00"/>
        <d v="2024-04-24T00:00:00"/>
        <d v="2024-04-23T00:00:00"/>
        <d v="2024-04-22T00:00:00"/>
        <d v="2024-04-19T00:00:00"/>
        <d v="2024-04-18T00:00:00"/>
        <d v="2024-04-16T00:00:00"/>
        <d v="2024-04-15T00:00:00"/>
        <d v="2024-04-12T00:00:00"/>
        <d v="2024-04-10T00:00:00"/>
        <d v="2024-04-09T00:00:00"/>
        <d v="2024-04-08T00:00:00"/>
        <d v="2024-04-05T00:00:00"/>
        <d v="2024-04-04T00:00:00"/>
        <d v="2024-04-03T00:00:00"/>
        <d v="2024-04-02T00:00:00"/>
        <d v="2024-04-01T00:00:00"/>
      </sharedItems>
      <fieldGroup par="19"/>
    </cacheField>
    <cacheField name="month" numFmtId="15">
      <sharedItems containsBlank="1" count="13">
        <s v="Mar"/>
        <s v="Feb"/>
        <s v="Jan"/>
        <s v="Dec"/>
        <s v="Nov"/>
        <s v="Oct"/>
        <s v="Sep"/>
        <s v="Aug"/>
        <s v="Jul"/>
        <s v="Jun"/>
        <s v="May"/>
        <s v="Apr"/>
        <m u="1"/>
      </sharedItems>
    </cacheField>
    <cacheField name="day" numFmtId="15">
      <sharedItems count="6">
        <s v="Friday"/>
        <s v="Thursday"/>
        <s v="Wednesday"/>
        <s v="Tuesday"/>
        <s v="Monday"/>
        <s v="Saturday"/>
      </sharedItems>
    </cacheField>
    <cacheField name="year" numFmtId="15">
      <sharedItems count="2">
        <s v="2025"/>
        <s v="2024"/>
      </sharedItems>
    </cacheField>
    <cacheField name="series " numFmtId="0">
      <sharedItems/>
    </cacheField>
    <cacheField name="OPEN " numFmtId="0">
      <sharedItems containsSemiMixedTypes="0" containsString="0" containsNumber="1" minValue="175" maxValue="304.7"/>
    </cacheField>
    <cacheField name="HIGH " numFmtId="0">
      <sharedItems containsSemiMixedTypes="0" containsString="0" containsNumber="1" minValue="176.5" maxValue="304.7"/>
    </cacheField>
    <cacheField name="LOW " numFmtId="0">
      <sharedItems containsSemiMixedTypes="0" containsString="0" containsNumber="1" minValue="146.30000000000001" maxValue="296.25"/>
    </cacheField>
    <cacheField name="PREV. CLOSE " numFmtId="0">
      <sharedItems containsSemiMixedTypes="0" containsString="0" containsNumber="1" minValue="172" maxValue="302.95"/>
    </cacheField>
    <cacheField name="ltp " numFmtId="0">
      <sharedItems containsSemiMixedTypes="0" containsString="0" containsNumber="1" minValue="170.5" maxValue="302.45"/>
    </cacheField>
    <cacheField name="close " numFmtId="0">
      <sharedItems containsSemiMixedTypes="0" containsString="0" containsNumber="1" minValue="172" maxValue="302.95"/>
    </cacheField>
    <cacheField name="vwap " numFmtId="0">
      <sharedItems containsSemiMixedTypes="0" containsString="0" containsNumber="1" minValue="168.43" maxValue="300.19"/>
    </cacheField>
    <cacheField name="52W H " numFmtId="0">
      <sharedItems containsSemiMixedTypes="0" containsString="0" containsNumber="1" minValue="189" maxValue="304.7"/>
    </cacheField>
    <cacheField name="52W L " numFmtId="0">
      <sharedItems containsSemiMixedTypes="0" containsString="0" containsNumber="1" minValue="50.9" maxValue="146.30000000000001"/>
    </cacheField>
    <cacheField name="VOLUME " numFmtId="3">
      <sharedItems containsSemiMixedTypes="0" containsString="0" containsNumber="1" containsInteger="1" minValue="2548204" maxValue="400414753"/>
    </cacheField>
    <cacheField name="VALUE " numFmtId="4">
      <sharedItems containsSemiMixedTypes="0" containsString="0" containsNumber="1" minValue="496292477.30000001" maxValue="101688545337.28999"/>
    </cacheField>
    <cacheField name="No of trades " numFmtId="3">
      <sharedItems containsSemiMixedTypes="0" containsString="0" containsNumber="1" containsInteger="1" minValue="20507" maxValue="1605331"/>
    </cacheField>
    <cacheField name="Months (Date )" numFmtId="0" databaseField="0">
      <fieldGroup base="0">
        <rangePr groupBy="months" startDate="2024-04-01T00:00:00" endDate="2025-03-29T00:00:00"/>
        <groupItems count="14">
          <s v="&lt;01-04-2024"/>
          <s v="Jan"/>
          <s v="Feb"/>
          <s v="Mar"/>
          <s v="Apr"/>
          <s v="May"/>
          <s v="Jun"/>
          <s v="Jul"/>
          <s v="Aug"/>
          <s v="Sep"/>
          <s v="Oct"/>
          <s v="Nov"/>
          <s v="Dec"/>
          <s v="&gt;29-03-2025"/>
        </groupItems>
      </fieldGroup>
    </cacheField>
    <cacheField name="Quarters (Date )" numFmtId="0" databaseField="0">
      <fieldGroup base="0">
        <rangePr groupBy="quarters" startDate="2024-04-01T00:00:00" endDate="2025-03-29T00:00:00"/>
        <groupItems count="6">
          <s v="&lt;01-04-2024"/>
          <s v="Qtr1"/>
          <s v="Qtr2"/>
          <s v="Qtr3"/>
          <s v="Qtr4"/>
          <s v="&gt;29-03-2025"/>
        </groupItems>
      </fieldGroup>
    </cacheField>
    <cacheField name="Years (Date )" numFmtId="0" databaseField="0">
      <fieldGroup base="0">
        <rangePr groupBy="years" startDate="2024-04-01T00:00:00" endDate="2025-03-29T00:00:00"/>
        <groupItems count="4">
          <s v="&lt;01-04-2024"/>
          <s v="2024"/>
          <s v="2025"/>
          <s v="&gt;29-03-2025"/>
        </groupItems>
      </fieldGroup>
    </cacheField>
  </cacheFields>
  <extLst>
    <ext xmlns:x14="http://schemas.microsoft.com/office/spreadsheetml/2009/9/main" uri="{725AE2AE-9491-48be-B2B4-4EB974FC3084}">
      <x14:pivotCacheDefinition pivotCacheId="1769985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x v="0"/>
    <x v="0"/>
    <s v="EQ"/>
    <n v="204.24"/>
    <n v="209.9"/>
    <n v="200.5"/>
    <n v="206.28"/>
    <n v="201.2"/>
    <n v="201.7"/>
    <n v="204.43"/>
    <n v="304.7"/>
    <n v="146.30000000000001"/>
    <n v="74842762"/>
    <n v="15299765438.290001"/>
    <n v="334406"/>
  </r>
  <r>
    <x v="1"/>
    <x v="0"/>
    <x v="1"/>
    <x v="0"/>
    <s v="EQ"/>
    <n v="204.47"/>
    <n v="208.75"/>
    <n v="200.37"/>
    <n v="203.29"/>
    <n v="203"/>
    <n v="206.28"/>
    <n v="205.79"/>
    <n v="304.7"/>
    <n v="146.30000000000001"/>
    <n v="400414753"/>
    <n v="82400147801.580002"/>
    <n v="539248"/>
  </r>
  <r>
    <x v="2"/>
    <x v="0"/>
    <x v="2"/>
    <x v="0"/>
    <s v="EQ"/>
    <n v="202.35"/>
    <n v="206.9"/>
    <n v="199.92"/>
    <n v="209.81"/>
    <n v="204.47"/>
    <n v="203.29"/>
    <n v="203.89"/>
    <n v="304.7"/>
    <n v="146.30000000000001"/>
    <n v="114342130"/>
    <n v="23312857118.080002"/>
    <n v="478755"/>
  </r>
  <r>
    <x v="3"/>
    <x v="0"/>
    <x v="3"/>
    <x v="0"/>
    <s v="EQ"/>
    <n v="223.8"/>
    <n v="225.1"/>
    <n v="209"/>
    <n v="222.8"/>
    <n v="210.2"/>
    <n v="209.81"/>
    <n v="213.41"/>
    <n v="304.7"/>
    <n v="146.30000000000001"/>
    <n v="84184995"/>
    <n v="17966220990.5"/>
    <n v="422009"/>
  </r>
  <r>
    <x v="4"/>
    <x v="0"/>
    <x v="4"/>
    <x v="0"/>
    <s v="EQ"/>
    <n v="228.8"/>
    <n v="230.2"/>
    <n v="222.2"/>
    <n v="227.52"/>
    <n v="222.84"/>
    <n v="222.8"/>
    <n v="225.05"/>
    <n v="304.7"/>
    <n v="146.30000000000001"/>
    <n v="41920679"/>
    <n v="9434393719.25"/>
    <n v="246715"/>
  </r>
  <r>
    <x v="5"/>
    <x v="0"/>
    <x v="0"/>
    <x v="0"/>
    <s v="EQ"/>
    <n v="220"/>
    <n v="228.85"/>
    <n v="220"/>
    <n v="224.47"/>
    <n v="227.5"/>
    <n v="227.52"/>
    <n v="225.92"/>
    <n v="304.7"/>
    <n v="146.30000000000001"/>
    <n v="113328549"/>
    <n v="25602736121.470001"/>
    <n v="257104"/>
  </r>
  <r>
    <x v="6"/>
    <x v="0"/>
    <x v="1"/>
    <x v="0"/>
    <s v="EQ"/>
    <n v="226"/>
    <n v="228"/>
    <n v="221.87"/>
    <n v="223.53"/>
    <n v="224"/>
    <n v="224.47"/>
    <n v="224.74"/>
    <n v="304.7"/>
    <n v="146.30000000000001"/>
    <n v="61376776"/>
    <n v="13793810551.360001"/>
    <n v="188392"/>
  </r>
  <r>
    <x v="7"/>
    <x v="0"/>
    <x v="2"/>
    <x v="0"/>
    <s v="EQ"/>
    <n v="218.5"/>
    <n v="227.5"/>
    <n v="218.5"/>
    <n v="218.19"/>
    <n v="223.8"/>
    <n v="223.53"/>
    <n v="224.39"/>
    <n v="304.7"/>
    <n v="146.30000000000001"/>
    <n v="65519150"/>
    <n v="14701655217.629999"/>
    <n v="381459"/>
  </r>
  <r>
    <x v="8"/>
    <x v="0"/>
    <x v="3"/>
    <x v="0"/>
    <s v="EQ"/>
    <n v="204.28"/>
    <n v="219.1"/>
    <n v="204.28"/>
    <n v="203.69"/>
    <n v="218.91"/>
    <n v="218.19"/>
    <n v="213.74"/>
    <n v="304.7"/>
    <n v="146.30000000000001"/>
    <n v="79201906"/>
    <n v="16928573546.83"/>
    <n v="367430"/>
  </r>
  <r>
    <x v="9"/>
    <x v="0"/>
    <x v="4"/>
    <x v="0"/>
    <s v="EQ"/>
    <n v="200"/>
    <n v="207.2"/>
    <n v="199.17"/>
    <n v="201.43"/>
    <n v="204.28"/>
    <n v="203.69"/>
    <n v="203.89"/>
    <n v="304.7"/>
    <n v="146.30000000000001"/>
    <n v="48729405"/>
    <n v="9935325477.6800003"/>
    <n v="312138"/>
  </r>
  <r>
    <x v="10"/>
    <x v="0"/>
    <x v="1"/>
    <x v="0"/>
    <s v="EQ"/>
    <n v="208.2"/>
    <n v="208.6"/>
    <n v="200.2"/>
    <n v="205.46"/>
    <n v="202.5"/>
    <n v="201.43"/>
    <n v="203.98"/>
    <n v="304.7"/>
    <n v="144.30000000000001"/>
    <n v="60780855"/>
    <n v="12398380094.370001"/>
    <n v="278069"/>
  </r>
  <r>
    <x v="11"/>
    <x v="0"/>
    <x v="2"/>
    <x v="0"/>
    <s v="EQ"/>
    <n v="209.09"/>
    <n v="212.5"/>
    <n v="201.2"/>
    <n v="208.07"/>
    <n v="205.8"/>
    <n v="205.46"/>
    <n v="205.12"/>
    <n v="304.7"/>
    <n v="144.30000000000001"/>
    <n v="80010768"/>
    <n v="16411613880.98"/>
    <n v="320372"/>
  </r>
  <r>
    <x v="12"/>
    <x v="0"/>
    <x v="3"/>
    <x v="0"/>
    <s v="EQ"/>
    <n v="205.01"/>
    <n v="210.42"/>
    <n v="199.8"/>
    <n v="211.28"/>
    <n v="208.5"/>
    <n v="208.07"/>
    <n v="204.61"/>
    <n v="304.7"/>
    <n v="144.30000000000001"/>
    <n v="122391053"/>
    <n v="25042091435.900002"/>
    <n v="655855"/>
  </r>
  <r>
    <x v="13"/>
    <x v="0"/>
    <x v="4"/>
    <x v="0"/>
    <s v="EQ"/>
    <n v="217.41"/>
    <n v="219.09"/>
    <n v="210.55"/>
    <n v="216.83"/>
    <n v="211.51"/>
    <n v="211.28"/>
    <n v="213.37"/>
    <n v="304.7"/>
    <n v="144.30000000000001"/>
    <n v="62786821"/>
    <n v="13396732461.190001"/>
    <n v="293972"/>
  </r>
  <r>
    <x v="14"/>
    <x v="0"/>
    <x v="0"/>
    <x v="0"/>
    <s v="EQ"/>
    <n v="223.89"/>
    <n v="224.65"/>
    <n v="216"/>
    <n v="225.43"/>
    <n v="217.1"/>
    <n v="216.83"/>
    <n v="219.76"/>
    <n v="304.7"/>
    <n v="144.30000000000001"/>
    <n v="43864788"/>
    <n v="9639673208.2000008"/>
    <n v="224254"/>
  </r>
  <r>
    <x v="15"/>
    <x v="0"/>
    <x v="1"/>
    <x v="0"/>
    <s v="EQ"/>
    <n v="231.44"/>
    <n v="231.44"/>
    <n v="224.5"/>
    <n v="227.02"/>
    <n v="225.02"/>
    <n v="225.43"/>
    <n v="227.37"/>
    <n v="304.7"/>
    <n v="144.30000000000001"/>
    <n v="31864115"/>
    <n v="7245036037.5699997"/>
    <n v="193971"/>
  </r>
  <r>
    <x v="16"/>
    <x v="0"/>
    <x v="2"/>
    <x v="0"/>
    <s v="EQ"/>
    <n v="229"/>
    <n v="231.75"/>
    <n v="225.36"/>
    <n v="227.61"/>
    <n v="227.07"/>
    <n v="227.02"/>
    <n v="228.13"/>
    <n v="304.7"/>
    <n v="144.30000000000001"/>
    <n v="33095222"/>
    <n v="7549985171.54"/>
    <n v="196956"/>
  </r>
  <r>
    <x v="17"/>
    <x v="0"/>
    <x v="3"/>
    <x v="0"/>
    <s v="EQ"/>
    <n v="220.6"/>
    <n v="229.66"/>
    <n v="218.7"/>
    <n v="222.14"/>
    <n v="226.9"/>
    <n v="227.61"/>
    <n v="226.69"/>
    <n v="304.7"/>
    <n v="144.30000000000001"/>
    <n v="40794122"/>
    <n v="9247507891.8700008"/>
    <n v="230022"/>
  </r>
  <r>
    <x v="18"/>
    <x v="0"/>
    <x v="4"/>
    <x v="0"/>
    <s v="EQ"/>
    <n v="222.05"/>
    <n v="225.58"/>
    <n v="215.25"/>
    <n v="222.1"/>
    <n v="222.47"/>
    <n v="222.14"/>
    <n v="220.58"/>
    <n v="304.7"/>
    <n v="144.30000000000001"/>
    <n v="33262928"/>
    <n v="7337106835.3100004"/>
    <n v="237045"/>
  </r>
  <r>
    <x v="19"/>
    <x v="1"/>
    <x v="0"/>
    <x v="0"/>
    <s v="EQ"/>
    <n v="226"/>
    <n v="228.46"/>
    <n v="217.82"/>
    <n v="229.04"/>
    <n v="221.5"/>
    <n v="222.1"/>
    <n v="222.58"/>
    <n v="304.7"/>
    <n v="144.30000000000001"/>
    <n v="115467128"/>
    <n v="25700617574.240002"/>
    <n v="299830"/>
  </r>
  <r>
    <x v="20"/>
    <x v="1"/>
    <x v="1"/>
    <x v="0"/>
    <s v="EQ"/>
    <n v="226"/>
    <n v="229.74"/>
    <n v="225.05"/>
    <n v="225.63"/>
    <n v="228.91"/>
    <n v="229.04"/>
    <n v="227.43"/>
    <n v="304.7"/>
    <n v="144.30000000000001"/>
    <n v="33845022"/>
    <n v="7697304414.5500002"/>
    <n v="166607"/>
  </r>
  <r>
    <x v="21"/>
    <x v="1"/>
    <x v="3"/>
    <x v="0"/>
    <s v="EQ"/>
    <n v="224.2"/>
    <n v="230.18"/>
    <n v="223.05"/>
    <n v="222.69"/>
    <n v="225.8"/>
    <n v="225.63"/>
    <n v="227.37"/>
    <n v="304.7"/>
    <n v="144.30000000000001"/>
    <n v="48478366"/>
    <n v="11022488332.549999"/>
    <n v="273484"/>
  </r>
  <r>
    <x v="22"/>
    <x v="1"/>
    <x v="4"/>
    <x v="0"/>
    <s v="EQ"/>
    <n v="219.98"/>
    <n v="227.8"/>
    <n v="219.98"/>
    <n v="230.36"/>
    <n v="222.57"/>
    <n v="222.69"/>
    <n v="224.48"/>
    <n v="304.7"/>
    <n v="144.30000000000001"/>
    <n v="43335473"/>
    <n v="9727901617.0300007"/>
    <n v="239930"/>
  </r>
  <r>
    <x v="23"/>
    <x v="1"/>
    <x v="0"/>
    <x v="0"/>
    <s v="EQ"/>
    <n v="233"/>
    <n v="238.73"/>
    <n v="228.87"/>
    <n v="233.93"/>
    <n v="229.81"/>
    <n v="230.36"/>
    <n v="232.42"/>
    <n v="304.7"/>
    <n v="144.30000000000001"/>
    <n v="36768250"/>
    <n v="8545689653.8999996"/>
    <n v="249247"/>
  </r>
  <r>
    <x v="24"/>
    <x v="1"/>
    <x v="1"/>
    <x v="0"/>
    <s v="EQ"/>
    <n v="231.5"/>
    <n v="236.65"/>
    <n v="230.11"/>
    <n v="234.1"/>
    <n v="232.95"/>
    <n v="233.93"/>
    <n v="233.95"/>
    <n v="304.7"/>
    <n v="144.30000000000001"/>
    <n v="27119319"/>
    <n v="6344459408.2200003"/>
    <n v="187397"/>
  </r>
  <r>
    <x v="25"/>
    <x v="1"/>
    <x v="2"/>
    <x v="0"/>
    <s v="EQ"/>
    <n v="220.6"/>
    <n v="234.6"/>
    <n v="220"/>
    <n v="223.31"/>
    <n v="234"/>
    <n v="234.1"/>
    <n v="231.09"/>
    <n v="304.7"/>
    <n v="144.30000000000001"/>
    <n v="47896911"/>
    <n v="11068436661.34"/>
    <n v="294295"/>
  </r>
  <r>
    <x v="26"/>
    <x v="1"/>
    <x v="3"/>
    <x v="0"/>
    <s v="EQ"/>
    <n v="220"/>
    <n v="224.6"/>
    <n v="216.52"/>
    <n v="218.53"/>
    <n v="222.5"/>
    <n v="223.31"/>
    <n v="220.92"/>
    <n v="304.7"/>
    <n v="144.30000000000001"/>
    <n v="35519896"/>
    <n v="7847078156.71"/>
    <n v="220740"/>
  </r>
  <r>
    <x v="27"/>
    <x v="1"/>
    <x v="4"/>
    <x v="0"/>
    <s v="EQ"/>
    <n v="213.19"/>
    <n v="219.13"/>
    <n v="210.51"/>
    <n v="215.99"/>
    <n v="218.83"/>
    <n v="218.53"/>
    <n v="216.81"/>
    <n v="304.7"/>
    <n v="144.30000000000001"/>
    <n v="23560419"/>
    <n v="5108219452.1599998"/>
    <n v="260613"/>
  </r>
  <r>
    <x v="28"/>
    <x v="1"/>
    <x v="0"/>
    <x v="0"/>
    <s v="EQ"/>
    <n v="218.54"/>
    <n v="219.72"/>
    <n v="213.44"/>
    <n v="217.87"/>
    <n v="216.44"/>
    <n v="215.99"/>
    <n v="216.25"/>
    <n v="304.7"/>
    <n v="144.30000000000001"/>
    <n v="32738152"/>
    <n v="7079678971.1800003"/>
    <n v="188566"/>
  </r>
  <r>
    <x v="29"/>
    <x v="1"/>
    <x v="1"/>
    <x v="0"/>
    <s v="EQ"/>
    <n v="218.01"/>
    <n v="220.44"/>
    <n v="216.47"/>
    <n v="214.7"/>
    <n v="217.49"/>
    <n v="217.87"/>
    <n v="218.58"/>
    <n v="304.7"/>
    <n v="144.30000000000001"/>
    <n v="25633804"/>
    <n v="5603010522.8900003"/>
    <n v="173231"/>
  </r>
  <r>
    <x v="30"/>
    <x v="1"/>
    <x v="2"/>
    <x v="0"/>
    <s v="EQ"/>
    <n v="213.01"/>
    <n v="219.35"/>
    <n v="206.75"/>
    <n v="215.45"/>
    <n v="217"/>
    <n v="214.7"/>
    <n v="212.91"/>
    <n v="304.7"/>
    <n v="144.30000000000001"/>
    <n v="86778158"/>
    <n v="18475869012.400002"/>
    <n v="468042"/>
  </r>
  <r>
    <x v="31"/>
    <x v="1"/>
    <x v="3"/>
    <x v="0"/>
    <s v="EQ"/>
    <n v="227"/>
    <n v="227.24"/>
    <n v="213.37"/>
    <n v="227.25"/>
    <n v="216"/>
    <n v="215.45"/>
    <n v="217.2"/>
    <n v="304.7"/>
    <n v="144.30000000000001"/>
    <n v="71258339"/>
    <n v="15477340198.51"/>
    <n v="406441"/>
  </r>
  <r>
    <x v="32"/>
    <x v="1"/>
    <x v="4"/>
    <x v="0"/>
    <s v="EQ"/>
    <n v="233.35"/>
    <n v="234.89"/>
    <n v="224.75"/>
    <n v="233.9"/>
    <n v="227"/>
    <n v="227.25"/>
    <n v="227.85"/>
    <n v="304.7"/>
    <n v="144.30000000000001"/>
    <n v="38606975"/>
    <n v="8796620685.75"/>
    <n v="208383"/>
  </r>
  <r>
    <x v="33"/>
    <x v="1"/>
    <x v="0"/>
    <x v="0"/>
    <s v="EQ"/>
    <n v="230.7"/>
    <n v="234.7"/>
    <n v="229.4"/>
    <n v="229.05"/>
    <n v="233.37"/>
    <n v="233.9"/>
    <n v="232.17"/>
    <n v="304.7"/>
    <n v="138.05000000000001"/>
    <n v="39271458"/>
    <n v="9117609782.4200001"/>
    <n v="234305"/>
  </r>
  <r>
    <x v="34"/>
    <x v="1"/>
    <x v="1"/>
    <x v="0"/>
    <s v="EQ"/>
    <n v="233.47"/>
    <n v="234.65"/>
    <n v="226.66"/>
    <n v="231.12"/>
    <n v="229.9"/>
    <n v="229.05"/>
    <n v="231.66"/>
    <n v="304.7"/>
    <n v="138.05000000000001"/>
    <n v="41606913"/>
    <n v="9638730890.6700001"/>
    <n v="289404"/>
  </r>
  <r>
    <x v="35"/>
    <x v="1"/>
    <x v="2"/>
    <x v="0"/>
    <s v="EQ"/>
    <n v="234"/>
    <n v="239.39"/>
    <n v="230.5"/>
    <n v="234.54"/>
    <n v="231.49"/>
    <n v="231.12"/>
    <n v="234.35"/>
    <n v="304.7"/>
    <n v="138.05000000000001"/>
    <n v="36437504"/>
    <n v="8539263124.3699999"/>
    <n v="351041"/>
  </r>
  <r>
    <x v="36"/>
    <x v="1"/>
    <x v="3"/>
    <x v="0"/>
    <s v="EQ"/>
    <n v="242"/>
    <n v="242"/>
    <n v="229.34"/>
    <n v="238.2"/>
    <n v="233.29"/>
    <n v="234.54"/>
    <n v="234.3"/>
    <n v="304.7"/>
    <n v="138.05000000000001"/>
    <n v="64341167"/>
    <n v="15075247431.200001"/>
    <n v="341415"/>
  </r>
  <r>
    <x v="37"/>
    <x v="1"/>
    <x v="4"/>
    <x v="0"/>
    <s v="EQ"/>
    <n v="233.99"/>
    <n v="240.19"/>
    <n v="230"/>
    <n v="236.32"/>
    <n v="238.65"/>
    <n v="238.2"/>
    <n v="236.67"/>
    <n v="304.7"/>
    <n v="138.05000000000001"/>
    <n v="70249177"/>
    <n v="16625951852.34"/>
    <n v="385974"/>
  </r>
  <r>
    <x v="38"/>
    <x v="1"/>
    <x v="5"/>
    <x v="0"/>
    <s v="EQ"/>
    <n v="220.35"/>
    <n v="240.4"/>
    <n v="215.6"/>
    <n v="220.35"/>
    <n v="235.02"/>
    <n v="236.32"/>
    <n v="230.85"/>
    <n v="304.7"/>
    <n v="132.35"/>
    <n v="85297849"/>
    <n v="19691207396.490002"/>
    <n v="498770"/>
  </r>
  <r>
    <x v="39"/>
    <x v="2"/>
    <x v="0"/>
    <x v="0"/>
    <s v="EQ"/>
    <n v="219"/>
    <n v="223"/>
    <n v="217"/>
    <n v="218.8"/>
    <n v="222.1"/>
    <n v="220.35"/>
    <n v="220.69"/>
    <n v="304.7"/>
    <n v="132.35"/>
    <n v="33200044"/>
    <n v="7326997416.8500004"/>
    <n v="154834"/>
  </r>
  <r>
    <x v="40"/>
    <x v="2"/>
    <x v="1"/>
    <x v="0"/>
    <s v="EQ"/>
    <n v="223"/>
    <n v="224.8"/>
    <n v="217"/>
    <n v="222.5"/>
    <n v="218.75"/>
    <n v="218.8"/>
    <n v="220.31"/>
    <n v="304.7"/>
    <n v="132.35"/>
    <n v="44730687"/>
    <n v="9854517236.5499992"/>
    <n v="199242"/>
  </r>
  <r>
    <x v="41"/>
    <x v="2"/>
    <x v="2"/>
    <x v="0"/>
    <s v="EQ"/>
    <n v="211"/>
    <n v="223.75"/>
    <n v="210.2"/>
    <n v="208.2"/>
    <n v="222.15"/>
    <n v="222.5"/>
    <n v="217.83"/>
    <n v="304.7"/>
    <n v="132.35"/>
    <n v="53638588"/>
    <n v="11684036862"/>
    <n v="262293"/>
  </r>
  <r>
    <x v="42"/>
    <x v="2"/>
    <x v="3"/>
    <x v="0"/>
    <s v="EQ"/>
    <n v="206.25"/>
    <n v="211.75"/>
    <n v="205.6"/>
    <n v="206.2"/>
    <n v="209.3"/>
    <n v="208.2"/>
    <n v="208.97"/>
    <n v="304.7"/>
    <n v="132.35"/>
    <n v="54426157"/>
    <n v="11373284084.6"/>
    <n v="279495"/>
  </r>
  <r>
    <x v="43"/>
    <x v="2"/>
    <x v="4"/>
    <x v="0"/>
    <s v="EQ"/>
    <n v="213"/>
    <n v="213"/>
    <n v="205.5"/>
    <n v="215.6"/>
    <n v="206.1"/>
    <n v="206.2"/>
    <n v="208.97"/>
    <n v="304.7"/>
    <n v="132.35"/>
    <n v="55203993"/>
    <n v="11536063861.85"/>
    <n v="309246"/>
  </r>
  <r>
    <x v="44"/>
    <x v="2"/>
    <x v="0"/>
    <x v="0"/>
    <s v="EQ"/>
    <n v="221"/>
    <n v="221"/>
    <n v="214.6"/>
    <n v="221.95"/>
    <n v="215.45"/>
    <n v="215.6"/>
    <n v="217.78"/>
    <n v="304.7"/>
    <n v="127"/>
    <n v="43901547"/>
    <n v="9561028972.7999992"/>
    <n v="265340"/>
  </r>
  <r>
    <x v="45"/>
    <x v="2"/>
    <x v="1"/>
    <x v="0"/>
    <s v="EQ"/>
    <n v="219.65"/>
    <n v="223.45"/>
    <n v="216.45"/>
    <n v="216.45"/>
    <n v="220.95"/>
    <n v="221.95"/>
    <n v="220.69"/>
    <n v="304.7"/>
    <n v="127"/>
    <n v="75649874"/>
    <n v="16695011170.1"/>
    <n v="376145"/>
  </r>
  <r>
    <x v="46"/>
    <x v="2"/>
    <x v="2"/>
    <x v="0"/>
    <s v="EQ"/>
    <n v="207.15"/>
    <n v="218.2"/>
    <n v="203.85"/>
    <n v="214.55"/>
    <n v="218.1"/>
    <n v="216.45"/>
    <n v="210.75"/>
    <n v="304.7"/>
    <n v="127"/>
    <n v="178256196"/>
    <n v="37568007232.300003"/>
    <n v="654957"/>
  </r>
  <r>
    <x v="47"/>
    <x v="2"/>
    <x v="3"/>
    <x v="0"/>
    <s v="EQ"/>
    <n v="223"/>
    <n v="227"/>
    <n v="207.8"/>
    <n v="239.75"/>
    <n v="215.4"/>
    <n v="214.55"/>
    <n v="218.11"/>
    <n v="304.7"/>
    <n v="127"/>
    <n v="308217731"/>
    <n v="67225769802.050003"/>
    <n v="1403192"/>
  </r>
  <r>
    <x v="48"/>
    <x v="2"/>
    <x v="4"/>
    <x v="0"/>
    <s v="EQ"/>
    <n v="251"/>
    <n v="254.35"/>
    <n v="228.25"/>
    <n v="248.8"/>
    <n v="230.7"/>
    <n v="239.75"/>
    <n v="244.49"/>
    <n v="304.7"/>
    <n v="127"/>
    <n v="102666319"/>
    <n v="25100933417.299999"/>
    <n v="446072"/>
  </r>
  <r>
    <x v="49"/>
    <x v="2"/>
    <x v="0"/>
    <x v="0"/>
    <s v="EQ"/>
    <n v="244.7"/>
    <n v="250.8"/>
    <n v="240.5"/>
    <n v="241.9"/>
    <n v="248.65"/>
    <n v="248.8"/>
    <n v="246.6"/>
    <n v="304.7"/>
    <n v="121.6"/>
    <n v="40007808"/>
    <n v="9866006525.9500008"/>
    <n v="244274"/>
  </r>
  <r>
    <x v="50"/>
    <x v="2"/>
    <x v="1"/>
    <x v="0"/>
    <s v="EQ"/>
    <n v="250"/>
    <n v="262"/>
    <n v="241"/>
    <n v="243.9"/>
    <n v="243.85"/>
    <n v="241.9"/>
    <n v="247.02"/>
    <n v="304.7"/>
    <n v="121.6"/>
    <n v="69621318"/>
    <n v="17197727806.25"/>
    <n v="367498"/>
  </r>
  <r>
    <x v="51"/>
    <x v="2"/>
    <x v="2"/>
    <x v="0"/>
    <s v="EQ"/>
    <n v="235"/>
    <n v="246"/>
    <n v="235"/>
    <n v="233.6"/>
    <n v="245.7"/>
    <n v="243.9"/>
    <n v="241.69"/>
    <n v="304.7"/>
    <n v="121.6"/>
    <n v="65921349"/>
    <n v="15932456932.25"/>
    <n v="353117"/>
  </r>
  <r>
    <x v="52"/>
    <x v="2"/>
    <x v="3"/>
    <x v="0"/>
    <s v="EQ"/>
    <n v="233.95"/>
    <n v="237.6"/>
    <n v="230"/>
    <n v="227.15"/>
    <n v="234.75"/>
    <n v="233.6"/>
    <n v="234.61"/>
    <n v="304.7"/>
    <n v="121.6"/>
    <n v="85363264"/>
    <n v="20027451955"/>
    <n v="380056"/>
  </r>
  <r>
    <x v="53"/>
    <x v="2"/>
    <x v="4"/>
    <x v="0"/>
    <s v="EQ"/>
    <n v="240"/>
    <n v="240.4"/>
    <n v="226.2"/>
    <n v="242.95"/>
    <n v="228"/>
    <n v="227.15"/>
    <n v="231.71"/>
    <n v="304.7"/>
    <n v="121.6"/>
    <n v="69081908"/>
    <n v="16006722260.299999"/>
    <n v="394376"/>
  </r>
  <r>
    <x v="54"/>
    <x v="2"/>
    <x v="0"/>
    <x v="0"/>
    <s v="EQ"/>
    <n v="244.9"/>
    <n v="246.4"/>
    <n v="237.45"/>
    <n v="245.35"/>
    <n v="243.25"/>
    <n v="242.95"/>
    <n v="242.44"/>
    <n v="304.7"/>
    <n v="121.6"/>
    <n v="53817888"/>
    <n v="13047780162.799999"/>
    <n v="314401"/>
  </r>
  <r>
    <x v="55"/>
    <x v="2"/>
    <x v="1"/>
    <x v="0"/>
    <s v="EQ"/>
    <n v="251.6"/>
    <n v="252.55"/>
    <n v="244.55"/>
    <n v="250.05"/>
    <n v="244.95"/>
    <n v="245.35"/>
    <n v="248.06"/>
    <n v="304.7"/>
    <n v="121.6"/>
    <n v="49569418"/>
    <n v="12296259566.049999"/>
    <n v="272369"/>
  </r>
  <r>
    <x v="56"/>
    <x v="2"/>
    <x v="2"/>
    <x v="0"/>
    <s v="EQ"/>
    <n v="251.7"/>
    <n v="252.75"/>
    <n v="244.35"/>
    <n v="252.45"/>
    <n v="249.65"/>
    <n v="250.05"/>
    <n v="247.6"/>
    <n v="304.7"/>
    <n v="121.6"/>
    <n v="57146621"/>
    <n v="14149250317"/>
    <n v="345608"/>
  </r>
  <r>
    <x v="57"/>
    <x v="2"/>
    <x v="3"/>
    <x v="0"/>
    <s v="EQ"/>
    <n v="256.95"/>
    <n v="259.2"/>
    <n v="251"/>
    <n v="264.85000000000002"/>
    <n v="251.75"/>
    <n v="252.45"/>
    <n v="253.95"/>
    <n v="304.7"/>
    <n v="121.6"/>
    <n v="115216965"/>
    <n v="29259384237.900002"/>
    <n v="604528"/>
  </r>
  <r>
    <x v="58"/>
    <x v="2"/>
    <x v="4"/>
    <x v="0"/>
    <s v="EQ"/>
    <n v="274.5"/>
    <n v="274.8"/>
    <n v="262.2"/>
    <n v="272.85000000000002"/>
    <n v="264.60000000000002"/>
    <n v="264.85000000000002"/>
    <n v="268.20999999999998"/>
    <n v="304.7"/>
    <n v="121.6"/>
    <n v="52254616"/>
    <n v="14015115050.549999"/>
    <n v="356388"/>
  </r>
  <r>
    <x v="59"/>
    <x v="2"/>
    <x v="0"/>
    <x v="0"/>
    <s v="EQ"/>
    <n v="285"/>
    <n v="285"/>
    <n v="271.5"/>
    <n v="284.60000000000002"/>
    <n v="272.55"/>
    <n v="272.85000000000002"/>
    <n v="277.58"/>
    <n v="304.7"/>
    <n v="121.6"/>
    <n v="48244937"/>
    <n v="13391845447.799999"/>
    <n v="263260"/>
  </r>
  <r>
    <x v="60"/>
    <x v="2"/>
    <x v="1"/>
    <x v="0"/>
    <s v="EQ"/>
    <n v="277.89999999999998"/>
    <n v="286"/>
    <n v="276"/>
    <n v="276.5"/>
    <n v="285.35000000000002"/>
    <n v="284.60000000000002"/>
    <n v="280.70999999999998"/>
    <n v="304.7"/>
    <n v="121.6"/>
    <n v="27949423"/>
    <n v="7845619626.3999996"/>
    <n v="154300"/>
  </r>
  <r>
    <x v="61"/>
    <x v="2"/>
    <x v="2"/>
    <x v="0"/>
    <s v="EQ"/>
    <n v="279"/>
    <n v="279.10000000000002"/>
    <n v="276"/>
    <n v="278.05"/>
    <n v="276.85000000000002"/>
    <n v="276.5"/>
    <n v="277.22000000000003"/>
    <n v="304.7"/>
    <n v="121.6"/>
    <n v="14417581"/>
    <n v="3996775364.8000002"/>
    <n v="98016"/>
  </r>
  <r>
    <x v="62"/>
    <x v="3"/>
    <x v="3"/>
    <x v="1"/>
    <s v="EQ"/>
    <n v="278"/>
    <n v="281.60000000000002"/>
    <n v="275"/>
    <n v="282.10000000000002"/>
    <n v="277.95"/>
    <n v="278.05"/>
    <n v="278.36"/>
    <n v="304.7"/>
    <n v="121.6"/>
    <n v="31925776"/>
    <n v="8886951045.7000008"/>
    <n v="173514"/>
  </r>
  <r>
    <x v="63"/>
    <x v="3"/>
    <x v="4"/>
    <x v="1"/>
    <s v="EQ"/>
    <n v="271.25"/>
    <n v="291.60000000000002"/>
    <n v="269.8"/>
    <n v="271.25"/>
    <n v="279.7"/>
    <n v="282.10000000000002"/>
    <n v="280.79000000000002"/>
    <n v="304.7"/>
    <n v="121.6"/>
    <n v="143568542"/>
    <n v="40311970049.150002"/>
    <n v="331310"/>
  </r>
  <r>
    <x v="64"/>
    <x v="3"/>
    <x v="0"/>
    <x v="1"/>
    <s v="EQ"/>
    <n v="274.89999999999998"/>
    <n v="275.89999999999998"/>
    <n v="269.75"/>
    <n v="273.2"/>
    <n v="271.45"/>
    <n v="271.25"/>
    <n v="272.16000000000003"/>
    <n v="304.7"/>
    <n v="120.6"/>
    <n v="18997843"/>
    <n v="5170411527.8999996"/>
    <n v="124319"/>
  </r>
  <r>
    <x v="65"/>
    <x v="3"/>
    <x v="1"/>
    <x v="1"/>
    <s v="EQ"/>
    <n v="276.60000000000002"/>
    <n v="276.8"/>
    <n v="271.25"/>
    <n v="274.85000000000002"/>
    <n v="272.8"/>
    <n v="273.2"/>
    <n v="273.18"/>
    <n v="304.7"/>
    <n v="120.6"/>
    <n v="26031760"/>
    <n v="7111430329.6000004"/>
    <n v="285197"/>
  </r>
  <r>
    <x v="66"/>
    <x v="3"/>
    <x v="3"/>
    <x v="1"/>
    <s v="EQ"/>
    <n v="274.5"/>
    <n v="277"/>
    <n v="269.10000000000002"/>
    <n v="273.95"/>
    <n v="274.5"/>
    <n v="274.85000000000002"/>
    <n v="273.69"/>
    <n v="304.7"/>
    <n v="120.6"/>
    <n v="37011994"/>
    <n v="10129807929.35"/>
    <n v="230142"/>
  </r>
  <r>
    <x v="67"/>
    <x v="3"/>
    <x v="4"/>
    <x v="1"/>
    <s v="EQ"/>
    <n v="273.89999999999998"/>
    <n v="282.89999999999998"/>
    <n v="272"/>
    <n v="282.10000000000002"/>
    <n v="274.14999999999998"/>
    <n v="273.95"/>
    <n v="276.58999999999997"/>
    <n v="304.7"/>
    <n v="120.6"/>
    <n v="74588008"/>
    <n v="20630417591.299999"/>
    <n v="424843"/>
  </r>
  <r>
    <x v="68"/>
    <x v="3"/>
    <x v="0"/>
    <x v="1"/>
    <s v="EQ"/>
    <n v="290"/>
    <n v="290.5"/>
    <n v="274.2"/>
    <n v="288.5"/>
    <n v="274.7"/>
    <n v="282.10000000000002"/>
    <n v="282.75"/>
    <n v="304.7"/>
    <n v="120.2"/>
    <n v="271472990"/>
    <n v="76758594846.850006"/>
    <n v="349641"/>
  </r>
  <r>
    <x v="69"/>
    <x v="3"/>
    <x v="1"/>
    <x v="1"/>
    <s v="EQ"/>
    <n v="288.05"/>
    <n v="290.2"/>
    <n v="284.7"/>
    <n v="291.89999999999998"/>
    <n v="289.2"/>
    <n v="288.5"/>
    <n v="287.49"/>
    <n v="304.7"/>
    <n v="120.2"/>
    <n v="31350637"/>
    <n v="9012855451.2999992"/>
    <n v="175217"/>
  </r>
  <r>
    <x v="70"/>
    <x v="3"/>
    <x v="2"/>
    <x v="1"/>
    <s v="EQ"/>
    <n v="297.7"/>
    <n v="297.7"/>
    <n v="290"/>
    <n v="296.8"/>
    <n v="292.5"/>
    <n v="291.89999999999998"/>
    <n v="293.04000000000002"/>
    <n v="304.7"/>
    <n v="120.2"/>
    <n v="28348122"/>
    <n v="8307145639.8000002"/>
    <n v="205891"/>
  </r>
  <r>
    <x v="71"/>
    <x v="3"/>
    <x v="3"/>
    <x v="1"/>
    <s v="EQ"/>
    <n v="295.5"/>
    <n v="303.45"/>
    <n v="292.3"/>
    <n v="294.14999999999998"/>
    <n v="295.7"/>
    <n v="296.8"/>
    <n v="299.16000000000003"/>
    <n v="304.7"/>
    <n v="120.2"/>
    <n v="72724924"/>
    <n v="21756652108.950001"/>
    <n v="360496"/>
  </r>
  <r>
    <x v="72"/>
    <x v="3"/>
    <x v="4"/>
    <x v="1"/>
    <s v="EQ"/>
    <n v="289"/>
    <n v="295.89999999999998"/>
    <n v="286.55"/>
    <n v="288.25"/>
    <n v="294.5"/>
    <n v="294.14999999999998"/>
    <n v="292.31"/>
    <n v="304.7"/>
    <n v="120.2"/>
    <n v="31320679"/>
    <n v="9155314800.5499992"/>
    <n v="205651"/>
  </r>
  <r>
    <x v="73"/>
    <x v="3"/>
    <x v="0"/>
    <x v="1"/>
    <s v="EQ"/>
    <n v="279"/>
    <n v="288.95"/>
    <n v="278.2"/>
    <n v="284.89999999999998"/>
    <n v="288.2"/>
    <n v="288.25"/>
    <n v="285.47000000000003"/>
    <n v="304.7"/>
    <n v="114.15"/>
    <n v="47302705"/>
    <n v="13503626756.450001"/>
    <n v="252192"/>
  </r>
  <r>
    <x v="74"/>
    <x v="3"/>
    <x v="1"/>
    <x v="1"/>
    <s v="EQ"/>
    <n v="291.8"/>
    <n v="295"/>
    <n v="284.10000000000002"/>
    <n v="291.8"/>
    <n v="285.60000000000002"/>
    <n v="284.89999999999998"/>
    <n v="288.38"/>
    <n v="304.7"/>
    <n v="114.15"/>
    <n v="38405304"/>
    <n v="11075426051.549999"/>
    <n v="226353"/>
  </r>
  <r>
    <x v="75"/>
    <x v="3"/>
    <x v="2"/>
    <x v="1"/>
    <s v="EQ"/>
    <n v="290"/>
    <n v="294.3"/>
    <n v="288.60000000000002"/>
    <n v="295.85000000000002"/>
    <n v="291.35000000000002"/>
    <n v="291.8"/>
    <n v="291.75"/>
    <n v="304.7"/>
    <n v="114.15"/>
    <n v="39053928"/>
    <n v="11394035363.15"/>
    <n v="263989"/>
  </r>
  <r>
    <x v="76"/>
    <x v="3"/>
    <x v="3"/>
    <x v="1"/>
    <s v="EQ"/>
    <n v="296.75"/>
    <n v="299.45"/>
    <n v="295"/>
    <n v="295.3"/>
    <n v="296"/>
    <n v="295.85000000000002"/>
    <n v="296.75"/>
    <n v="304.7"/>
    <n v="114.15"/>
    <n v="31333039"/>
    <n v="9298135871.25"/>
    <n v="186888"/>
  </r>
  <r>
    <x v="77"/>
    <x v="3"/>
    <x v="4"/>
    <x v="1"/>
    <s v="EQ"/>
    <n v="304.7"/>
    <n v="304.7"/>
    <n v="291.8"/>
    <n v="302.95"/>
    <n v="295.7"/>
    <n v="295.3"/>
    <n v="297.23"/>
    <n v="304.7"/>
    <n v="114.15"/>
    <n v="51131895"/>
    <n v="15198071361.299999"/>
    <n v="335016"/>
  </r>
  <r>
    <x v="78"/>
    <x v="3"/>
    <x v="0"/>
    <x v="1"/>
    <s v="EQ"/>
    <n v="300"/>
    <n v="303.89999999999998"/>
    <n v="296.25"/>
    <n v="299.35000000000002"/>
    <n v="302.45"/>
    <n v="302.95"/>
    <n v="300.19"/>
    <n v="304.64999999999998"/>
    <n v="114.15"/>
    <n v="49309068"/>
    <n v="14802061712.549999"/>
    <n v="287621"/>
  </r>
  <r>
    <x v="79"/>
    <x v="3"/>
    <x v="1"/>
    <x v="1"/>
    <s v="EQ"/>
    <n v="288.25"/>
    <n v="304.64999999999998"/>
    <n v="286.85000000000002"/>
    <n v="286.25"/>
    <n v="299"/>
    <n v="299.35000000000002"/>
    <n v="298.17"/>
    <n v="304.64999999999998"/>
    <n v="114.15"/>
    <n v="102148528"/>
    <n v="30457699452.549999"/>
    <n v="533946"/>
  </r>
  <r>
    <x v="80"/>
    <x v="3"/>
    <x v="2"/>
    <x v="1"/>
    <s v="EQ"/>
    <n v="283"/>
    <n v="288"/>
    <n v="283"/>
    <n v="279.85000000000002"/>
    <n v="286.2"/>
    <n v="286.25"/>
    <n v="285.79000000000002"/>
    <n v="298.25"/>
    <n v="114.15"/>
    <n v="45520598"/>
    <n v="13009527742.1"/>
    <n v="224068"/>
  </r>
  <r>
    <x v="81"/>
    <x v="3"/>
    <x v="3"/>
    <x v="1"/>
    <s v="EQ"/>
    <n v="279.7"/>
    <n v="282.35000000000002"/>
    <n v="279"/>
    <n v="282.5"/>
    <n v="280"/>
    <n v="279.85000000000002"/>
    <n v="279.97000000000003"/>
    <n v="298.25"/>
    <n v="114.15"/>
    <n v="30078648"/>
    <n v="8421201473.9499998"/>
    <n v="180832"/>
  </r>
  <r>
    <x v="82"/>
    <x v="3"/>
    <x v="4"/>
    <x v="1"/>
    <s v="EQ"/>
    <n v="281.89999999999998"/>
    <n v="285.7"/>
    <n v="280.45"/>
    <n v="279.76"/>
    <n v="282.85000000000002"/>
    <n v="282.5"/>
    <n v="283.32"/>
    <n v="298.25"/>
    <n v="114.15"/>
    <n v="35170688"/>
    <n v="9964537688.9500008"/>
    <n v="206586"/>
  </r>
  <r>
    <x v="83"/>
    <x v="4"/>
    <x v="0"/>
    <x v="1"/>
    <s v="EQ"/>
    <n v="285"/>
    <n v="287.49"/>
    <n v="273.62"/>
    <n v="286.13"/>
    <n v="279.39999999999998"/>
    <n v="279.76"/>
    <n v="280.56"/>
    <n v="298.25"/>
    <n v="113.5"/>
    <n v="73433199"/>
    <n v="20602697028.380001"/>
    <n v="440473"/>
  </r>
  <r>
    <x v="84"/>
    <x v="4"/>
    <x v="1"/>
    <x v="1"/>
    <s v="EQ"/>
    <n v="285.60000000000002"/>
    <n v="288.25"/>
    <n v="281.43"/>
    <n v="284.72000000000003"/>
    <n v="285.2"/>
    <n v="286.13"/>
    <n v="285.18"/>
    <n v="298.25"/>
    <n v="113.5"/>
    <n v="49584020"/>
    <n v="14140283400.709999"/>
    <n v="368268"/>
  </r>
  <r>
    <x v="85"/>
    <x v="4"/>
    <x v="2"/>
    <x v="1"/>
    <s v="EQ"/>
    <n v="281"/>
    <n v="289.7"/>
    <n v="278.76"/>
    <n v="280.11"/>
    <n v="285.76"/>
    <n v="284.72000000000003"/>
    <n v="285.92"/>
    <n v="298.25"/>
    <n v="113.5"/>
    <n v="66635986"/>
    <n v="19052697014.240002"/>
    <n v="546387"/>
  </r>
  <r>
    <x v="86"/>
    <x v="4"/>
    <x v="3"/>
    <x v="1"/>
    <s v="EQ"/>
    <n v="273.8"/>
    <n v="281.14"/>
    <n v="272.61"/>
    <n v="273.31"/>
    <n v="280.20999999999998"/>
    <n v="280.11"/>
    <n v="277.47000000000003"/>
    <n v="298.25"/>
    <n v="113.5"/>
    <n v="48373365"/>
    <n v="13421959277.25"/>
    <n v="406042"/>
  </r>
  <r>
    <x v="87"/>
    <x v="4"/>
    <x v="4"/>
    <x v="1"/>
    <s v="EQ"/>
    <n v="273.25"/>
    <n v="284.33999999999997"/>
    <n v="271.17"/>
    <n v="264.2"/>
    <n v="272.89999999999998"/>
    <n v="273.31"/>
    <n v="278.17"/>
    <n v="298.25"/>
    <n v="113.5"/>
    <n v="119525837"/>
    <n v="33248766189.610001"/>
    <n v="580890"/>
  </r>
  <r>
    <x v="88"/>
    <x v="4"/>
    <x v="0"/>
    <x v="1"/>
    <s v="EQ"/>
    <n v="266.8"/>
    <n v="268.99"/>
    <n v="262.55"/>
    <n v="266.81"/>
    <n v="264.89"/>
    <n v="264.2"/>
    <n v="265.45999999999998"/>
    <n v="298.25"/>
    <n v="112.5"/>
    <n v="26626294"/>
    <n v="7068248084.4300003"/>
    <n v="331459"/>
  </r>
  <r>
    <x v="89"/>
    <x v="4"/>
    <x v="1"/>
    <x v="1"/>
    <s v="EQ"/>
    <n v="273.7"/>
    <n v="275.49"/>
    <n v="262.11"/>
    <n v="271.36"/>
    <n v="265.35000000000002"/>
    <n v="266.81"/>
    <n v="267.92"/>
    <n v="298.25"/>
    <n v="112.5"/>
    <n v="57742968"/>
    <n v="15470275938.67"/>
    <n v="397135"/>
  </r>
  <r>
    <x v="90"/>
    <x v="4"/>
    <x v="3"/>
    <x v="1"/>
    <s v="EQ"/>
    <n v="271.94"/>
    <n v="272.7"/>
    <n v="267.66000000000003"/>
    <n v="270.79000000000002"/>
    <n v="270.02"/>
    <n v="271.36"/>
    <n v="271.24"/>
    <n v="298.25"/>
    <n v="112.5"/>
    <n v="42992794"/>
    <n v="11661501717.459999"/>
    <n v="430431"/>
  </r>
  <r>
    <x v="91"/>
    <x v="4"/>
    <x v="4"/>
    <x v="1"/>
    <s v="EQ"/>
    <n v="274.3"/>
    <n v="274.39999999999998"/>
    <n v="269.36"/>
    <n v="269.66000000000003"/>
    <n v="270.3"/>
    <n v="270.79000000000002"/>
    <n v="270.88"/>
    <n v="298.25"/>
    <n v="112.5"/>
    <n v="59799056"/>
    <n v="16198510535.23"/>
    <n v="462191"/>
  </r>
  <r>
    <x v="92"/>
    <x v="4"/>
    <x v="1"/>
    <x v="1"/>
    <s v="EQ"/>
    <n v="261.5"/>
    <n v="271"/>
    <n v="260.7"/>
    <n v="258.39999999999998"/>
    <n v="269.70999999999998"/>
    <n v="269.66000000000003"/>
    <n v="267.5"/>
    <n v="298.25"/>
    <n v="112.5"/>
    <n v="84971093"/>
    <n v="22729916853.790001"/>
    <n v="511588"/>
  </r>
  <r>
    <x v="93"/>
    <x v="4"/>
    <x v="2"/>
    <x v="1"/>
    <s v="EQ"/>
    <n v="258.08"/>
    <n v="263.43"/>
    <n v="254.53"/>
    <n v="260.99"/>
    <n v="259.02"/>
    <n v="258.39999999999998"/>
    <n v="259.08999999999997"/>
    <n v="298.25"/>
    <n v="112.5"/>
    <n v="61475328"/>
    <n v="15927703828.41"/>
    <n v="412687"/>
  </r>
  <r>
    <x v="94"/>
    <x v="4"/>
    <x v="3"/>
    <x v="1"/>
    <s v="EQ"/>
    <n v="259.95"/>
    <n v="264.89999999999998"/>
    <n v="255.3"/>
    <n v="258.62"/>
    <n v="258"/>
    <n v="260.99"/>
    <n v="259.92"/>
    <n v="298.25"/>
    <n v="112.5"/>
    <n v="50975031"/>
    <n v="13249571208.879999"/>
    <n v="358476"/>
  </r>
  <r>
    <x v="95"/>
    <x v="4"/>
    <x v="4"/>
    <x v="1"/>
    <s v="EQ"/>
    <n v="244.75"/>
    <n v="259.5"/>
    <n v="244"/>
    <n v="248.73"/>
    <n v="258"/>
    <n v="258.62"/>
    <n v="253.91"/>
    <n v="298.25"/>
    <n v="112.5"/>
    <n v="43972581"/>
    <n v="11165180664.16"/>
    <n v="334980"/>
  </r>
  <r>
    <x v="96"/>
    <x v="4"/>
    <x v="0"/>
    <x v="1"/>
    <s v="EQ"/>
    <n v="256.2"/>
    <n v="258.12"/>
    <n v="245.9"/>
    <n v="255.22"/>
    <n v="247"/>
    <n v="248.73"/>
    <n v="252.4"/>
    <n v="298.25"/>
    <n v="112.5"/>
    <n v="48676279"/>
    <n v="12285735748.34"/>
    <n v="339520"/>
  </r>
  <r>
    <x v="97"/>
    <x v="4"/>
    <x v="1"/>
    <x v="1"/>
    <s v="EQ"/>
    <n v="257"/>
    <n v="262.45"/>
    <n v="254"/>
    <n v="254.94"/>
    <n v="254.95"/>
    <n v="255.22"/>
    <n v="259.32"/>
    <n v="298.25"/>
    <n v="112.5"/>
    <n v="56967827"/>
    <n v="14772705756.08"/>
    <n v="377476"/>
  </r>
  <r>
    <x v="98"/>
    <x v="4"/>
    <x v="2"/>
    <x v="1"/>
    <s v="EQ"/>
    <n v="243.3"/>
    <n v="256.14"/>
    <n v="243.3"/>
    <n v="241.87"/>
    <n v="255.8"/>
    <n v="254.94"/>
    <n v="251.48"/>
    <n v="298.25"/>
    <n v="112.5"/>
    <n v="61727658"/>
    <n v="15523294898.030001"/>
    <n v="444227"/>
  </r>
  <r>
    <x v="99"/>
    <x v="4"/>
    <x v="3"/>
    <x v="1"/>
    <s v="EQ"/>
    <n v="244"/>
    <n v="246.35"/>
    <n v="239.45"/>
    <n v="245.08"/>
    <n v="241.4"/>
    <n v="241.87"/>
    <n v="242.15"/>
    <n v="298.25"/>
    <n v="112.5"/>
    <n v="42081056"/>
    <n v="10189771191.379999"/>
    <n v="280127"/>
  </r>
  <r>
    <x v="100"/>
    <x v="4"/>
    <x v="4"/>
    <x v="1"/>
    <s v="EQ"/>
    <n v="242.93"/>
    <n v="246.99"/>
    <n v="240"/>
    <n v="248.99"/>
    <n v="244.25"/>
    <n v="245.08"/>
    <n v="242.95"/>
    <n v="298.25"/>
    <n v="112.5"/>
    <n v="49186567"/>
    <n v="11949909217.639999"/>
    <n v="461147"/>
  </r>
  <r>
    <x v="101"/>
    <x v="4"/>
    <x v="0"/>
    <x v="1"/>
    <s v="EQ"/>
    <n v="244.4"/>
    <n v="250"/>
    <n v="244.15"/>
    <n v="241.75"/>
    <n v="249.9"/>
    <n v="248.99"/>
    <n v="248.73"/>
    <n v="298.25"/>
    <n v="103.25"/>
    <n v="13009914"/>
    <n v="3235996942.1799998"/>
    <n v="139299"/>
  </r>
  <r>
    <x v="102"/>
    <x v="5"/>
    <x v="1"/>
    <x v="1"/>
    <s v="EQ"/>
    <n v="248"/>
    <n v="248.8"/>
    <n v="240.4"/>
    <n v="246.85"/>
    <n v="241.5"/>
    <n v="241.75"/>
    <n v="243.94"/>
    <n v="298.25"/>
    <n v="103.25"/>
    <n v="36737366"/>
    <n v="8961842471.3500004"/>
    <n v="352991"/>
  </r>
  <r>
    <x v="103"/>
    <x v="5"/>
    <x v="2"/>
    <x v="1"/>
    <s v="EQ"/>
    <n v="249.15"/>
    <n v="250.5"/>
    <n v="245.05"/>
    <n v="252.25"/>
    <n v="247.9"/>
    <n v="246.85"/>
    <n v="247.35"/>
    <n v="298.25"/>
    <n v="103.25"/>
    <n v="48399791"/>
    <n v="11971528189.4"/>
    <n v="324390"/>
  </r>
  <r>
    <x v="104"/>
    <x v="5"/>
    <x v="3"/>
    <x v="1"/>
    <s v="EQ"/>
    <n v="254.95"/>
    <n v="255.9"/>
    <n v="248.45"/>
    <n v="253.95"/>
    <n v="252"/>
    <n v="252.25"/>
    <n v="251.74"/>
    <n v="298.25"/>
    <n v="103.25"/>
    <n v="30238688"/>
    <n v="7612366021.5500002"/>
    <n v="192035"/>
  </r>
  <r>
    <x v="105"/>
    <x v="5"/>
    <x v="4"/>
    <x v="1"/>
    <s v="EQ"/>
    <n v="252"/>
    <n v="259.25"/>
    <n v="247.1"/>
    <n v="253.8"/>
    <n v="254"/>
    <n v="253.95"/>
    <n v="253.65"/>
    <n v="298.25"/>
    <n v="103.25"/>
    <n v="41028381"/>
    <n v="10406819956.5"/>
    <n v="295087"/>
  </r>
  <r>
    <x v="106"/>
    <x v="5"/>
    <x v="0"/>
    <x v="1"/>
    <s v="EQ"/>
    <n v="256"/>
    <n v="257.95"/>
    <n v="246.5"/>
    <n v="254.3"/>
    <n v="251.95"/>
    <n v="253.8"/>
    <n v="251.1"/>
    <n v="298.25"/>
    <n v="101.25"/>
    <n v="66829144"/>
    <n v="16780635163.75"/>
    <n v="397924"/>
  </r>
  <r>
    <x v="107"/>
    <x v="5"/>
    <x v="1"/>
    <x v="1"/>
    <s v="EQ"/>
    <n v="267.2"/>
    <n v="268.39999999999998"/>
    <n v="252.55"/>
    <n v="264.05"/>
    <n v="254.8"/>
    <n v="254.3"/>
    <n v="257.79000000000002"/>
    <n v="298.25"/>
    <n v="101.25"/>
    <n v="60352258"/>
    <n v="15558018449.549999"/>
    <n v="360701"/>
  </r>
  <r>
    <x v="108"/>
    <x v="5"/>
    <x v="2"/>
    <x v="1"/>
    <s v="EQ"/>
    <n v="256.35000000000002"/>
    <n v="268"/>
    <n v="242.1"/>
    <n v="256.35000000000002"/>
    <n v="264"/>
    <n v="264.05"/>
    <n v="257.57"/>
    <n v="298.25"/>
    <n v="101.25"/>
    <n v="161602998"/>
    <n v="41623771735.650002"/>
    <n v="890245"/>
  </r>
  <r>
    <x v="109"/>
    <x v="5"/>
    <x v="3"/>
    <x v="1"/>
    <s v="EQ"/>
    <n v="267"/>
    <n v="270.89999999999998"/>
    <n v="252.75"/>
    <n v="265.7"/>
    <n v="256.55"/>
    <n v="256.35000000000002"/>
    <n v="261.87"/>
    <n v="298.25"/>
    <n v="101.25"/>
    <n v="69963412"/>
    <n v="18321100995.650002"/>
    <n v="387863"/>
  </r>
  <r>
    <x v="110"/>
    <x v="5"/>
    <x v="4"/>
    <x v="1"/>
    <s v="EQ"/>
    <n v="258"/>
    <n v="267"/>
    <n v="254.5"/>
    <n v="257.45"/>
    <n v="265.14999999999998"/>
    <n v="265.7"/>
    <n v="260.81"/>
    <n v="298.25"/>
    <n v="101.25"/>
    <n v="88316113"/>
    <n v="23034038064.900002"/>
    <n v="503361"/>
  </r>
  <r>
    <x v="111"/>
    <x v="5"/>
    <x v="0"/>
    <x v="1"/>
    <s v="EQ"/>
    <n v="256.89999999999998"/>
    <n v="270.3"/>
    <n v="255.25"/>
    <n v="270.55"/>
    <n v="259.2"/>
    <n v="257.45"/>
    <n v="261.06"/>
    <n v="298.25"/>
    <n v="101.25"/>
    <n v="108015952"/>
    <n v="28198930951"/>
    <n v="587036"/>
  </r>
  <r>
    <x v="112"/>
    <x v="5"/>
    <x v="1"/>
    <x v="1"/>
    <s v="EQ"/>
    <n v="275"/>
    <n v="275.14999999999998"/>
    <n v="268.60000000000002"/>
    <n v="274.25"/>
    <n v="270.3"/>
    <n v="270.55"/>
    <n v="271.33999999999997"/>
    <n v="298.25"/>
    <n v="101.25"/>
    <n v="25228600"/>
    <n v="6845563870.3500004"/>
    <n v="233011"/>
  </r>
  <r>
    <x v="113"/>
    <x v="5"/>
    <x v="2"/>
    <x v="1"/>
    <s v="EQ"/>
    <n v="279"/>
    <n v="279.39999999999998"/>
    <n v="273"/>
    <n v="279.55"/>
    <n v="274.45"/>
    <n v="274.25"/>
    <n v="275.5"/>
    <n v="298.25"/>
    <n v="101.25"/>
    <n v="20872032"/>
    <n v="5750235228.3500004"/>
    <n v="177786"/>
  </r>
  <r>
    <x v="114"/>
    <x v="5"/>
    <x v="3"/>
    <x v="1"/>
    <s v="EQ"/>
    <n v="283"/>
    <n v="283"/>
    <n v="276.10000000000002"/>
    <n v="280.05"/>
    <n v="279.55"/>
    <n v="279.55"/>
    <n v="279.06"/>
    <n v="298.25"/>
    <n v="101.25"/>
    <n v="23988729"/>
    <n v="6694369974.8999996"/>
    <n v="211828"/>
  </r>
  <r>
    <x v="115"/>
    <x v="5"/>
    <x v="4"/>
    <x v="1"/>
    <s v="EQ"/>
    <n v="280.89999999999998"/>
    <n v="285.25"/>
    <n v="278"/>
    <n v="277.55"/>
    <n v="278.7"/>
    <n v="280.05"/>
    <n v="281.52"/>
    <n v="298.25"/>
    <n v="101.25"/>
    <n v="45217362"/>
    <n v="12729773863.049999"/>
    <n v="422301"/>
  </r>
  <r>
    <x v="116"/>
    <x v="5"/>
    <x v="0"/>
    <x v="1"/>
    <s v="EQ"/>
    <n v="276.39999999999998"/>
    <n v="279"/>
    <n v="275.5"/>
    <n v="275.35000000000002"/>
    <n v="276.7"/>
    <n v="277.55"/>
    <n v="277.08"/>
    <n v="298.25"/>
    <n v="101"/>
    <n v="17126335"/>
    <n v="4745307267.3000002"/>
    <n v="170018"/>
  </r>
  <r>
    <x v="117"/>
    <x v="5"/>
    <x v="1"/>
    <x v="1"/>
    <s v="EQ"/>
    <n v="280.5"/>
    <n v="282.45"/>
    <n v="274.10000000000002"/>
    <n v="279.95"/>
    <n v="275.3"/>
    <n v="275.35000000000002"/>
    <n v="277.14999999999998"/>
    <n v="298.25"/>
    <n v="101"/>
    <n v="38904819"/>
    <n v="10782463736.5"/>
    <n v="226500"/>
  </r>
  <r>
    <x v="118"/>
    <x v="5"/>
    <x v="2"/>
    <x v="1"/>
    <s v="EQ"/>
    <n v="279"/>
    <n v="290"/>
    <n v="275.35000000000002"/>
    <n v="278.7"/>
    <n v="279.75"/>
    <n v="279.95"/>
    <n v="283.73"/>
    <n v="298.25"/>
    <n v="101"/>
    <n v="62967866"/>
    <n v="17866095854.700001"/>
    <n v="400692"/>
  </r>
  <r>
    <x v="119"/>
    <x v="5"/>
    <x v="3"/>
    <x v="1"/>
    <s v="EQ"/>
    <n v="266"/>
    <n v="280.89999999999998"/>
    <n v="262.60000000000002"/>
    <n v="266.10000000000002"/>
    <n v="279.8"/>
    <n v="278.7"/>
    <n v="274.45999999999998"/>
    <n v="298.25"/>
    <n v="101"/>
    <n v="68958719"/>
    <n v="18926259552.650002"/>
    <n v="376504"/>
  </r>
  <r>
    <x v="120"/>
    <x v="5"/>
    <x v="4"/>
    <x v="1"/>
    <s v="EQ"/>
    <n v="278.55"/>
    <n v="279"/>
    <n v="261.60000000000002"/>
    <n v="275.3"/>
    <n v="265"/>
    <n v="266.10000000000002"/>
    <n v="267.17"/>
    <n v="298.25"/>
    <n v="101"/>
    <n v="51381672"/>
    <n v="13727538457.049999"/>
    <n v="382593"/>
  </r>
  <r>
    <x v="121"/>
    <x v="5"/>
    <x v="0"/>
    <x v="1"/>
    <s v="EQ"/>
    <n v="267"/>
    <n v="277.85000000000002"/>
    <n v="264.10000000000002"/>
    <n v="269"/>
    <n v="274.64999999999998"/>
    <n v="275.3"/>
    <n v="273.49"/>
    <n v="298.25"/>
    <n v="100"/>
    <n v="59102827"/>
    <n v="16163768343.4"/>
    <n v="342016"/>
  </r>
  <r>
    <x v="122"/>
    <x v="5"/>
    <x v="1"/>
    <x v="1"/>
    <s v="EQ"/>
    <n v="269.7"/>
    <n v="272.45"/>
    <n v="268"/>
    <n v="274.14999999999998"/>
    <n v="268.85000000000002"/>
    <n v="269"/>
    <n v="269.93"/>
    <n v="298.25"/>
    <n v="100"/>
    <n v="40791499"/>
    <n v="11010751706.049999"/>
    <n v="379534"/>
  </r>
  <r>
    <x v="123"/>
    <x v="5"/>
    <x v="3"/>
    <x v="1"/>
    <s v="EQ"/>
    <n v="272.55"/>
    <n v="276.45"/>
    <n v="271.3"/>
    <n v="273.3"/>
    <n v="274.45"/>
    <n v="274.14999999999998"/>
    <n v="273.87"/>
    <n v="298.25"/>
    <n v="100"/>
    <n v="32110540"/>
    <n v="8794019941.4500008"/>
    <n v="241486"/>
  </r>
  <r>
    <x v="124"/>
    <x v="6"/>
    <x v="4"/>
    <x v="1"/>
    <s v="EQ"/>
    <n v="277.89999999999998"/>
    <n v="277.89999999999998"/>
    <n v="272.45"/>
    <n v="278.14999999999998"/>
    <n v="272.89999999999998"/>
    <n v="273.3"/>
    <n v="274.35000000000002"/>
    <n v="298.25"/>
    <n v="100"/>
    <n v="40976919"/>
    <n v="11242153803.4"/>
    <n v="360426"/>
  </r>
  <r>
    <x v="125"/>
    <x v="6"/>
    <x v="0"/>
    <x v="1"/>
    <s v="EQ"/>
    <n v="275.39999999999998"/>
    <n v="286.89999999999998"/>
    <n v="273.5"/>
    <n v="283.89999999999998"/>
    <n v="278"/>
    <n v="278.14999999999998"/>
    <n v="280.64999999999998"/>
    <n v="298.25"/>
    <n v="97.75"/>
    <n v="58812631"/>
    <n v="16505762743.5"/>
    <n v="400634"/>
  </r>
  <r>
    <x v="126"/>
    <x v="6"/>
    <x v="1"/>
    <x v="1"/>
    <s v="EQ"/>
    <n v="285.39999999999998"/>
    <n v="285.89999999999998"/>
    <n v="278.5"/>
    <n v="285.39999999999998"/>
    <n v="284"/>
    <n v="283.89999999999998"/>
    <n v="282.23"/>
    <n v="298.25"/>
    <n v="97.75"/>
    <n v="39057810"/>
    <n v="11023391149.549999"/>
    <n v="306593"/>
  </r>
  <r>
    <x v="127"/>
    <x v="6"/>
    <x v="2"/>
    <x v="1"/>
    <s v="EQ"/>
    <n v="291.8"/>
    <n v="291.85000000000002"/>
    <n v="283.05"/>
    <n v="291.7"/>
    <n v="286"/>
    <n v="285.39999999999998"/>
    <n v="285.85000000000002"/>
    <n v="298.25"/>
    <n v="97.75"/>
    <n v="47685746"/>
    <n v="13630853572.049999"/>
    <n v="299869"/>
  </r>
  <r>
    <x v="128"/>
    <x v="6"/>
    <x v="3"/>
    <x v="1"/>
    <s v="EQ"/>
    <n v="298"/>
    <n v="298"/>
    <n v="290.25"/>
    <n v="297"/>
    <n v="291.3"/>
    <n v="291.7"/>
    <n v="293.38"/>
    <n v="298.25"/>
    <n v="97.75"/>
    <n v="40844804"/>
    <n v="11982935600"/>
    <n v="282718"/>
  </r>
  <r>
    <x v="129"/>
    <x v="6"/>
    <x v="4"/>
    <x v="1"/>
    <s v="EQ"/>
    <n v="292"/>
    <n v="298.25"/>
    <n v="290.55"/>
    <n v="290.5"/>
    <n v="297.35000000000002"/>
    <n v="297"/>
    <n v="294.69"/>
    <n v="298.25"/>
    <n v="97.75"/>
    <n v="48761823"/>
    <n v="14369771611.049999"/>
    <n v="346300"/>
  </r>
  <r>
    <x v="130"/>
    <x v="6"/>
    <x v="0"/>
    <x v="1"/>
    <s v="EQ"/>
    <n v="279"/>
    <n v="293"/>
    <n v="278.95"/>
    <n v="278.85000000000002"/>
    <n v="289.85000000000002"/>
    <n v="290.5"/>
    <n v="288.29000000000002"/>
    <n v="293"/>
    <n v="97.75"/>
    <n v="84416068"/>
    <n v="24336478716.400002"/>
    <n v="442729"/>
  </r>
  <r>
    <x v="131"/>
    <x v="6"/>
    <x v="1"/>
    <x v="1"/>
    <s v="EQ"/>
    <n v="276.5"/>
    <n v="280.95"/>
    <n v="272.25"/>
    <n v="275.85000000000002"/>
    <n v="278.95"/>
    <n v="278.85000000000002"/>
    <n v="277.19"/>
    <n v="286.45"/>
    <n v="97.75"/>
    <n v="48225291"/>
    <n v="13367462603.75"/>
    <n v="321377"/>
  </r>
  <r>
    <x v="132"/>
    <x v="6"/>
    <x v="2"/>
    <x v="1"/>
    <s v="EQ"/>
    <n v="270.64999999999998"/>
    <n v="277.85000000000002"/>
    <n v="269.89999999999998"/>
    <n v="270.75"/>
    <n v="275.25"/>
    <n v="275.85000000000002"/>
    <n v="274.73"/>
    <n v="286.45"/>
    <n v="97.75"/>
    <n v="30225926"/>
    <n v="8303890608.3500004"/>
    <n v="221991"/>
  </r>
  <r>
    <x v="133"/>
    <x v="6"/>
    <x v="3"/>
    <x v="1"/>
    <s v="EQ"/>
    <n v="277.64999999999998"/>
    <n v="278"/>
    <n v="270"/>
    <n v="277.7"/>
    <n v="270.64999999999998"/>
    <n v="270.75"/>
    <n v="272.72000000000003"/>
    <n v="286.45"/>
    <n v="97.75"/>
    <n v="33515464"/>
    <n v="9140209068.7999992"/>
    <n v="249033"/>
  </r>
  <r>
    <x v="134"/>
    <x v="6"/>
    <x v="4"/>
    <x v="1"/>
    <s v="EQ"/>
    <n v="274.5"/>
    <n v="282"/>
    <n v="269.2"/>
    <n v="272.89999999999998"/>
    <n v="278"/>
    <n v="277.7"/>
    <n v="273.97000000000003"/>
    <n v="286.45"/>
    <n v="97.75"/>
    <n v="47792145"/>
    <n v="13093701990.450001"/>
    <n v="296451"/>
  </r>
  <r>
    <x v="135"/>
    <x v="6"/>
    <x v="0"/>
    <x v="1"/>
    <s v="EQ"/>
    <n v="285.39999999999998"/>
    <n v="286.45"/>
    <n v="271.10000000000002"/>
    <n v="283.89999999999998"/>
    <n v="273.5"/>
    <n v="272.89999999999998"/>
    <n v="277.55"/>
    <n v="286.45"/>
    <n v="96.5"/>
    <n v="82150759"/>
    <n v="22800840116.799999"/>
    <n v="507677"/>
  </r>
  <r>
    <x v="136"/>
    <x v="6"/>
    <x v="1"/>
    <x v="1"/>
    <s v="EQ"/>
    <n v="276.3"/>
    <n v="286"/>
    <n v="274.3"/>
    <n v="271.75"/>
    <n v="283.3"/>
    <n v="283.89999999999998"/>
    <n v="281.66000000000003"/>
    <n v="286"/>
    <n v="96.5"/>
    <n v="101691858"/>
    <n v="28642842848.400002"/>
    <n v="588153"/>
  </r>
  <r>
    <x v="137"/>
    <x v="6"/>
    <x v="2"/>
    <x v="1"/>
    <s v="EQ"/>
    <n v="268.25"/>
    <n v="281.5"/>
    <n v="268.10000000000002"/>
    <n v="267.7"/>
    <n v="272.39999999999998"/>
    <n v="271.75"/>
    <n v="275.91000000000003"/>
    <n v="281.5"/>
    <n v="96.5"/>
    <n v="121883781"/>
    <n v="33628536946.400002"/>
    <n v="551525"/>
  </r>
  <r>
    <x v="138"/>
    <x v="6"/>
    <x v="3"/>
    <x v="1"/>
    <s v="EQ"/>
    <n v="265.85000000000002"/>
    <n v="270.3"/>
    <n v="259.55"/>
    <n v="263.2"/>
    <n v="267.14999999999998"/>
    <n v="267.7"/>
    <n v="265.56"/>
    <n v="280.89999999999998"/>
    <n v="96.5"/>
    <n v="68658961"/>
    <n v="18233126456.25"/>
    <n v="374474"/>
  </r>
  <r>
    <x v="139"/>
    <x v="6"/>
    <x v="4"/>
    <x v="1"/>
    <s v="EQ"/>
    <n v="260"/>
    <n v="265"/>
    <n v="256.3"/>
    <n v="259.95"/>
    <n v="262.89999999999998"/>
    <n v="263.2"/>
    <n v="261.26"/>
    <n v="280.89999999999998"/>
    <n v="96.5"/>
    <n v="58534619"/>
    <n v="15292764488.4"/>
    <n v="348255"/>
  </r>
  <r>
    <x v="140"/>
    <x v="6"/>
    <x v="0"/>
    <x v="1"/>
    <s v="EQ"/>
    <n v="255"/>
    <n v="262.14999999999998"/>
    <n v="254.25"/>
    <n v="254.85"/>
    <n v="259.89999999999998"/>
    <n v="259.95"/>
    <n v="259.39999999999998"/>
    <n v="280.89999999999998"/>
    <n v="96.5"/>
    <n v="75700809"/>
    <n v="19636999927.349998"/>
    <n v="401289"/>
  </r>
  <r>
    <x v="141"/>
    <x v="6"/>
    <x v="1"/>
    <x v="1"/>
    <s v="EQ"/>
    <n v="248.05"/>
    <n v="261.60000000000002"/>
    <n v="246"/>
    <n v="242.85"/>
    <n v="254.85"/>
    <n v="254.85"/>
    <n v="254.65"/>
    <n v="280.89999999999998"/>
    <n v="96.5"/>
    <n v="115627516"/>
    <n v="29444877219.849998"/>
    <n v="541758"/>
  </r>
  <r>
    <x v="142"/>
    <x v="6"/>
    <x v="2"/>
    <x v="1"/>
    <s v="EQ"/>
    <n v="244.45"/>
    <n v="245"/>
    <n v="240.4"/>
    <n v="247.7"/>
    <n v="243.75"/>
    <n v="242.85"/>
    <n v="242.66"/>
    <n v="280.89999999999998"/>
    <n v="96.5"/>
    <n v="58762234"/>
    <n v="14259374313.799999"/>
    <n v="349556"/>
  </r>
  <r>
    <x v="143"/>
    <x v="6"/>
    <x v="3"/>
    <x v="1"/>
    <s v="EQ"/>
    <n v="246.75"/>
    <n v="252.95"/>
    <n v="245.4"/>
    <n v="244.45"/>
    <n v="246.7"/>
    <n v="247.7"/>
    <n v="248.91"/>
    <n v="280.89999999999998"/>
    <n v="96.5"/>
    <n v="66538683"/>
    <n v="16562172918.799999"/>
    <n v="351522"/>
  </r>
  <r>
    <x v="144"/>
    <x v="6"/>
    <x v="4"/>
    <x v="1"/>
    <s v="EQ"/>
    <n v="252"/>
    <n v="252.3"/>
    <n v="241.85"/>
    <n v="250.53"/>
    <n v="245.1"/>
    <n v="244.45"/>
    <n v="245.44"/>
    <n v="280.89999999999998"/>
    <n v="96.5"/>
    <n v="55833057"/>
    <n v="13703406660.1"/>
    <n v="368854"/>
  </r>
  <r>
    <x v="145"/>
    <x v="7"/>
    <x v="0"/>
    <x v="1"/>
    <s v="EQ"/>
    <n v="253.5"/>
    <n v="255.45"/>
    <n v="248.81"/>
    <n v="252.34"/>
    <n v="251.18"/>
    <n v="250.53"/>
    <n v="251.68"/>
    <n v="280.89999999999998"/>
    <n v="91.75"/>
    <n v="50157287"/>
    <n v="12623698289.469999"/>
    <n v="468769"/>
  </r>
  <r>
    <x v="146"/>
    <x v="7"/>
    <x v="1"/>
    <x v="1"/>
    <s v="EQ"/>
    <n v="254.78"/>
    <n v="256.35000000000002"/>
    <n v="248.51"/>
    <n v="253.04"/>
    <n v="251.75"/>
    <n v="252.34"/>
    <n v="251.58"/>
    <n v="280.89999999999998"/>
    <n v="91.75"/>
    <n v="37767471"/>
    <n v="9501587918.8199997"/>
    <n v="298000"/>
  </r>
  <r>
    <x v="147"/>
    <x v="7"/>
    <x v="2"/>
    <x v="1"/>
    <s v="EQ"/>
    <n v="257"/>
    <n v="257.74"/>
    <n v="252.15"/>
    <n v="256.05"/>
    <n v="253"/>
    <n v="253.04"/>
    <n v="254.8"/>
    <n v="280.89999999999998"/>
    <n v="91.75"/>
    <n v="28603253"/>
    <n v="7288071782.2200003"/>
    <n v="281460"/>
  </r>
  <r>
    <x v="148"/>
    <x v="7"/>
    <x v="3"/>
    <x v="1"/>
    <s v="EQ"/>
    <n v="260.75"/>
    <n v="261.39999999999998"/>
    <n v="255.4"/>
    <n v="259.39"/>
    <n v="255.75"/>
    <n v="256.05"/>
    <n v="257.29000000000002"/>
    <n v="280.89999999999998"/>
    <n v="91.75"/>
    <n v="31816706"/>
    <n v="8186069806.5900002"/>
    <n v="298236"/>
  </r>
  <r>
    <x v="149"/>
    <x v="7"/>
    <x v="4"/>
    <x v="1"/>
    <s v="EQ"/>
    <n v="263.8"/>
    <n v="264.42"/>
    <n v="258.10000000000002"/>
    <n v="262.64999999999998"/>
    <n v="259.5"/>
    <n v="259.39"/>
    <n v="260.17"/>
    <n v="280.89999999999998"/>
    <n v="91.75"/>
    <n v="36184864"/>
    <n v="9414366111.3500004"/>
    <n v="303446"/>
  </r>
  <r>
    <x v="150"/>
    <x v="7"/>
    <x v="0"/>
    <x v="1"/>
    <s v="EQ"/>
    <n v="260.41000000000003"/>
    <n v="269.89999999999998"/>
    <n v="258.31"/>
    <n v="257.95999999999998"/>
    <n v="263.48"/>
    <n v="262.64999999999998"/>
    <n v="265.68"/>
    <n v="280.89999999999998"/>
    <n v="88.3"/>
    <n v="102220794"/>
    <n v="27157833315.939999"/>
    <n v="680202"/>
  </r>
  <r>
    <x v="151"/>
    <x v="7"/>
    <x v="1"/>
    <x v="1"/>
    <s v="EQ"/>
    <n v="264"/>
    <n v="267"/>
    <n v="256.01"/>
    <n v="260.02999999999997"/>
    <n v="257.85000000000002"/>
    <n v="257.95999999999998"/>
    <n v="260.41000000000003"/>
    <n v="280.89999999999998"/>
    <n v="88.3"/>
    <n v="73893288"/>
    <n v="19242851652.700001"/>
    <n v="475958"/>
  </r>
  <r>
    <x v="152"/>
    <x v="7"/>
    <x v="2"/>
    <x v="1"/>
    <s v="EQ"/>
    <n v="263.12"/>
    <n v="264.45"/>
    <n v="259"/>
    <n v="263.12"/>
    <n v="259.77"/>
    <n v="260.02999999999997"/>
    <n v="261.13"/>
    <n v="280.89999999999998"/>
    <n v="88.3"/>
    <n v="38605742"/>
    <n v="10081259132.6"/>
    <n v="243526"/>
  </r>
  <r>
    <x v="153"/>
    <x v="7"/>
    <x v="3"/>
    <x v="1"/>
    <s v="EQ"/>
    <n v="262"/>
    <n v="264.45"/>
    <n v="258.25"/>
    <n v="262.17"/>
    <n v="263.2"/>
    <n v="263.12"/>
    <n v="261.01"/>
    <n v="280.89999999999998"/>
    <n v="88.3"/>
    <n v="132396556"/>
    <n v="34556755246.82"/>
    <n v="510308"/>
  </r>
  <r>
    <x v="154"/>
    <x v="7"/>
    <x v="4"/>
    <x v="1"/>
    <s v="EQ"/>
    <n v="278"/>
    <n v="280.89999999999998"/>
    <n v="261"/>
    <n v="264.43"/>
    <n v="263.24"/>
    <n v="262.17"/>
    <n v="269.14"/>
    <n v="280.89999999999998"/>
    <n v="88.3"/>
    <n v="80435895"/>
    <n v="21648732492.189999"/>
    <n v="509883"/>
  </r>
  <r>
    <x v="155"/>
    <x v="7"/>
    <x v="0"/>
    <x v="1"/>
    <s v="EQ"/>
    <n v="260.7"/>
    <n v="266.2"/>
    <n v="257.01"/>
    <n v="260.14"/>
    <n v="264.75"/>
    <n v="264.43"/>
    <n v="261.39"/>
    <n v="278.7"/>
    <n v="88.3"/>
    <n v="42932761"/>
    <n v="11222049172.870001"/>
    <n v="290705"/>
  </r>
  <r>
    <x v="156"/>
    <x v="7"/>
    <x v="2"/>
    <x v="1"/>
    <s v="EQ"/>
    <n v="260.3"/>
    <n v="264.5"/>
    <n v="255.5"/>
    <n v="257.08"/>
    <n v="259.25"/>
    <n v="260.14"/>
    <n v="259.87"/>
    <n v="278.7"/>
    <n v="88.3"/>
    <n v="41735068"/>
    <n v="10845566362.67"/>
    <n v="305078"/>
  </r>
  <r>
    <x v="157"/>
    <x v="7"/>
    <x v="3"/>
    <x v="1"/>
    <s v="EQ"/>
    <n v="265"/>
    <n v="265.39999999999998"/>
    <n v="256"/>
    <n v="263.43"/>
    <n v="258.19"/>
    <n v="257.08"/>
    <n v="260.16000000000003"/>
    <n v="278.7"/>
    <n v="88.3"/>
    <n v="26127109"/>
    <n v="6797328417.96"/>
    <n v="199894"/>
  </r>
  <r>
    <x v="158"/>
    <x v="7"/>
    <x v="4"/>
    <x v="1"/>
    <s v="EQ"/>
    <n v="263.5"/>
    <n v="266.49"/>
    <n v="261.35000000000002"/>
    <n v="267.08999999999997"/>
    <n v="263.52"/>
    <n v="263.43"/>
    <n v="264.01"/>
    <n v="278.7"/>
    <n v="88.3"/>
    <n v="33514964"/>
    <n v="8848212220.0799999"/>
    <n v="277971"/>
  </r>
  <r>
    <x v="159"/>
    <x v="7"/>
    <x v="0"/>
    <x v="1"/>
    <s v="EQ"/>
    <n v="267.73"/>
    <n v="272.89999999999998"/>
    <n v="265.55"/>
    <n v="265.58999999999997"/>
    <n v="266.89999999999998"/>
    <n v="267.08999999999997"/>
    <n v="269.67"/>
    <n v="278.7"/>
    <n v="88.3"/>
    <n v="52601958"/>
    <n v="14185242527.09"/>
    <n v="329825"/>
  </r>
  <r>
    <x v="160"/>
    <x v="7"/>
    <x v="1"/>
    <x v="1"/>
    <s v="EQ"/>
    <n v="265"/>
    <n v="267.5"/>
    <n v="260"/>
    <n v="265.67"/>
    <n v="264.5"/>
    <n v="265.58999999999997"/>
    <n v="262.85000000000002"/>
    <n v="278.7"/>
    <n v="88.3"/>
    <n v="57917059"/>
    <n v="15223462598.93"/>
    <n v="415998"/>
  </r>
  <r>
    <x v="161"/>
    <x v="7"/>
    <x v="2"/>
    <x v="1"/>
    <s v="EQ"/>
    <n v="261.52999999999997"/>
    <n v="267.60000000000002"/>
    <n v="251.81"/>
    <n v="249.08"/>
    <n v="265.98"/>
    <n v="265.67"/>
    <n v="261.64999999999998"/>
    <n v="278.7"/>
    <n v="88.3"/>
    <n v="127379201"/>
    <n v="33328139758.299999"/>
    <n v="783798"/>
  </r>
  <r>
    <x v="162"/>
    <x v="7"/>
    <x v="3"/>
    <x v="1"/>
    <s v="EQ"/>
    <n v="265.89999999999998"/>
    <n v="275"/>
    <n v="247.2"/>
    <n v="256.29000000000002"/>
    <n v="248.9"/>
    <n v="249.08"/>
    <n v="260.63"/>
    <n v="278.7"/>
    <n v="88.3"/>
    <n v="143459602"/>
    <n v="37389437330.510002"/>
    <n v="843498"/>
  </r>
  <r>
    <x v="163"/>
    <x v="7"/>
    <x v="4"/>
    <x v="1"/>
    <s v="EQ"/>
    <n v="254"/>
    <n v="265.55"/>
    <n v="249"/>
    <n v="262.33999999999997"/>
    <n v="256.14999999999998"/>
    <n v="256.29000000000002"/>
    <n v="257.99"/>
    <n v="278.7"/>
    <n v="88.3"/>
    <n v="156106218"/>
    <n v="40274249100.730003"/>
    <n v="968687"/>
  </r>
  <r>
    <x v="164"/>
    <x v="7"/>
    <x v="0"/>
    <x v="1"/>
    <s v="EQ"/>
    <n v="244.5"/>
    <n v="278.7"/>
    <n v="243"/>
    <n v="234.09"/>
    <n v="262.74"/>
    <n v="262.33999999999997"/>
    <n v="261.37"/>
    <n v="278.7"/>
    <n v="81.599999999999994"/>
    <n v="389060620"/>
    <n v="101688545337.28999"/>
    <n v="1605331"/>
  </r>
  <r>
    <x v="165"/>
    <x v="7"/>
    <x v="1"/>
    <x v="1"/>
    <s v="EQ"/>
    <n v="231"/>
    <n v="238"/>
    <n v="228"/>
    <n v="229.45"/>
    <n v="237.9"/>
    <n v="234.09"/>
    <n v="233.01"/>
    <n v="238"/>
    <n v="81.599999999999994"/>
    <n v="87888742"/>
    <n v="20479339298.220001"/>
    <n v="428427"/>
  </r>
  <r>
    <x v="166"/>
    <x v="8"/>
    <x v="2"/>
    <x v="1"/>
    <s v="EQ"/>
    <n v="227.61"/>
    <n v="230.14"/>
    <n v="226.05"/>
    <n v="227.13"/>
    <n v="229.75"/>
    <n v="229.45"/>
    <n v="228.64"/>
    <n v="232"/>
    <n v="81.599999999999994"/>
    <n v="25009969"/>
    <n v="5718364662.46"/>
    <n v="179919"/>
  </r>
  <r>
    <x v="167"/>
    <x v="8"/>
    <x v="3"/>
    <x v="1"/>
    <s v="EQ"/>
    <n v="226.95"/>
    <n v="231.2"/>
    <n v="225.11"/>
    <n v="226.89"/>
    <n v="227"/>
    <n v="227.13"/>
    <n v="228.58"/>
    <n v="232"/>
    <n v="81.599999999999994"/>
    <n v="39378466"/>
    <n v="9000940431"/>
    <n v="243511"/>
  </r>
  <r>
    <x v="168"/>
    <x v="8"/>
    <x v="4"/>
    <x v="1"/>
    <s v="EQ"/>
    <n v="226.62"/>
    <n v="229.46"/>
    <n v="224.1"/>
    <n v="224.62"/>
    <n v="227.1"/>
    <n v="226.89"/>
    <n v="226.95"/>
    <n v="232"/>
    <n v="81.599999999999994"/>
    <n v="40644424"/>
    <n v="9224253180.3799992"/>
    <n v="202666"/>
  </r>
  <r>
    <x v="169"/>
    <x v="8"/>
    <x v="0"/>
    <x v="1"/>
    <s v="EQ"/>
    <n v="219"/>
    <n v="226.62"/>
    <n v="216.85"/>
    <n v="219.31"/>
    <n v="225.35"/>
    <n v="224.62"/>
    <n v="221.37"/>
    <n v="232"/>
    <n v="79.3"/>
    <n v="35693966"/>
    <n v="7901568227.0200005"/>
    <n v="225438"/>
  </r>
  <r>
    <x v="170"/>
    <x v="8"/>
    <x v="1"/>
    <x v="1"/>
    <s v="EQ"/>
    <n v="221"/>
    <n v="223.97"/>
    <n v="216.95"/>
    <n v="223.49"/>
    <n v="218.95"/>
    <n v="219.31"/>
    <n v="220.9"/>
    <n v="232"/>
    <n v="79.3"/>
    <n v="26124437"/>
    <n v="5770954197.6499996"/>
    <n v="235501"/>
  </r>
  <r>
    <x v="171"/>
    <x v="8"/>
    <x v="2"/>
    <x v="1"/>
    <s v="EQ"/>
    <n v="217.85"/>
    <n v="225.5"/>
    <n v="215.6"/>
    <n v="217.91"/>
    <n v="224.25"/>
    <n v="223.49"/>
    <n v="221.27"/>
    <n v="232"/>
    <n v="79.3"/>
    <n v="32358784"/>
    <n v="7160010235.1599998"/>
    <n v="239989"/>
  </r>
  <r>
    <x v="172"/>
    <x v="8"/>
    <x v="3"/>
    <x v="1"/>
    <s v="EQ"/>
    <n v="222.5"/>
    <n v="223.72"/>
    <n v="207"/>
    <n v="221.66"/>
    <n v="216.7"/>
    <n v="217.91"/>
    <n v="217.29"/>
    <n v="232"/>
    <n v="79.3"/>
    <n v="36589825"/>
    <n v="7950530270.71"/>
    <n v="239479"/>
  </r>
  <r>
    <x v="173"/>
    <x v="8"/>
    <x v="4"/>
    <x v="1"/>
    <s v="EQ"/>
    <n v="214"/>
    <n v="222.19"/>
    <n v="214"/>
    <n v="218.89"/>
    <n v="221.3"/>
    <n v="221.66"/>
    <n v="220.53"/>
    <n v="232"/>
    <n v="79.3"/>
    <n v="33701488"/>
    <n v="7432304552.5699997"/>
    <n v="288204"/>
  </r>
  <r>
    <x v="174"/>
    <x v="8"/>
    <x v="0"/>
    <x v="1"/>
    <s v="EQ"/>
    <n v="217.99"/>
    <n v="220.49"/>
    <n v="213.67"/>
    <n v="220.62"/>
    <n v="220.05"/>
    <n v="218.89"/>
    <n v="217.1"/>
    <n v="232"/>
    <n v="76.5"/>
    <n v="39257871"/>
    <n v="8522944421.9099998"/>
    <n v="277803"/>
  </r>
  <r>
    <x v="175"/>
    <x v="8"/>
    <x v="1"/>
    <x v="1"/>
    <s v="EQ"/>
    <n v="217.75"/>
    <n v="221.4"/>
    <n v="210.25"/>
    <n v="217.49"/>
    <n v="220.9"/>
    <n v="220.62"/>
    <n v="216.05"/>
    <n v="232"/>
    <n v="76.5"/>
    <n v="58537673"/>
    <n v="12647310638.540001"/>
    <n v="426707"/>
  </r>
  <r>
    <x v="176"/>
    <x v="8"/>
    <x v="3"/>
    <x v="1"/>
    <s v="EQ"/>
    <n v="230"/>
    <n v="230.35"/>
    <n v="215.3"/>
    <n v="229.15"/>
    <n v="218.35"/>
    <n v="217.49"/>
    <n v="221.83"/>
    <n v="232"/>
    <n v="76.5"/>
    <n v="44681031"/>
    <n v="9911383121.8600006"/>
    <n v="332122"/>
  </r>
  <r>
    <x v="177"/>
    <x v="8"/>
    <x v="4"/>
    <x v="1"/>
    <s v="EQ"/>
    <n v="225"/>
    <n v="232"/>
    <n v="225"/>
    <n v="222.47"/>
    <n v="229.25"/>
    <n v="229.15"/>
    <n v="227.67"/>
    <n v="232"/>
    <n v="76.5"/>
    <n v="51203051"/>
    <n v="11657208295.860001"/>
    <n v="360102"/>
  </r>
  <r>
    <x v="178"/>
    <x v="8"/>
    <x v="0"/>
    <x v="1"/>
    <s v="EQ"/>
    <n v="219"/>
    <n v="223.25"/>
    <n v="217.05"/>
    <n v="217.14"/>
    <n v="223.21"/>
    <n v="222.47"/>
    <n v="220.29"/>
    <n v="223.25"/>
    <n v="73.400000000000006"/>
    <n v="45580868"/>
    <n v="10041203355.290001"/>
    <n v="251248"/>
  </r>
  <r>
    <x v="179"/>
    <x v="8"/>
    <x v="1"/>
    <x v="1"/>
    <s v="EQ"/>
    <n v="211.47"/>
    <n v="218.95"/>
    <n v="211.37"/>
    <n v="211.37"/>
    <n v="217"/>
    <n v="217.14"/>
    <n v="215.26"/>
    <n v="218.95"/>
    <n v="73.400000000000006"/>
    <n v="45769091"/>
    <n v="9852384575.2600002"/>
    <n v="256627"/>
  </r>
  <r>
    <x v="180"/>
    <x v="8"/>
    <x v="2"/>
    <x v="1"/>
    <s v="EQ"/>
    <n v="213"/>
    <n v="213.39"/>
    <n v="205.74"/>
    <n v="212.56"/>
    <n v="210.9"/>
    <n v="211.37"/>
    <n v="210.46"/>
    <n v="214"/>
    <n v="73.400000000000006"/>
    <n v="29852043"/>
    <n v="6282705249.8100004"/>
    <n v="214608"/>
  </r>
  <r>
    <x v="181"/>
    <x v="8"/>
    <x v="3"/>
    <x v="1"/>
    <s v="EQ"/>
    <n v="207.8"/>
    <n v="214"/>
    <n v="206.61"/>
    <n v="207.93"/>
    <n v="212.1"/>
    <n v="212.56"/>
    <n v="212.16"/>
    <n v="214"/>
    <n v="73.400000000000006"/>
    <n v="39312576"/>
    <n v="8340436982.6599998"/>
    <n v="242335"/>
  </r>
  <r>
    <x v="182"/>
    <x v="8"/>
    <x v="4"/>
    <x v="1"/>
    <s v="EQ"/>
    <n v="208.25"/>
    <n v="210"/>
    <n v="206"/>
    <n v="207.57"/>
    <n v="207.26"/>
    <n v="207.93"/>
    <n v="208.11"/>
    <n v="213.95"/>
    <n v="73.400000000000006"/>
    <n v="18260120"/>
    <n v="3800073707.3800001"/>
    <n v="173686"/>
  </r>
  <r>
    <x v="183"/>
    <x v="8"/>
    <x v="0"/>
    <x v="1"/>
    <s v="EQ"/>
    <n v="207"/>
    <n v="208.4"/>
    <n v="204.77"/>
    <n v="207.44"/>
    <n v="207.8"/>
    <n v="207.57"/>
    <n v="206.61"/>
    <n v="213.95"/>
    <n v="73"/>
    <n v="29681228"/>
    <n v="6132313593.6000004"/>
    <n v="175324"/>
  </r>
  <r>
    <x v="184"/>
    <x v="8"/>
    <x v="1"/>
    <x v="1"/>
    <s v="EQ"/>
    <n v="208.39"/>
    <n v="210.29"/>
    <n v="206.7"/>
    <n v="208.44"/>
    <n v="207.05"/>
    <n v="207.44"/>
    <n v="208.62"/>
    <n v="213.95"/>
    <n v="73"/>
    <n v="30004307"/>
    <n v="6259448235.1400003"/>
    <n v="250494"/>
  </r>
  <r>
    <x v="185"/>
    <x v="8"/>
    <x v="2"/>
    <x v="1"/>
    <s v="EQ"/>
    <n v="209.45"/>
    <n v="213.95"/>
    <n v="205.33"/>
    <n v="209.09"/>
    <n v="208.4"/>
    <n v="208.44"/>
    <n v="209.43"/>
    <n v="213.95"/>
    <n v="73"/>
    <n v="61479249"/>
    <n v="12875660946.379999"/>
    <n v="493334"/>
  </r>
  <r>
    <x v="186"/>
    <x v="8"/>
    <x v="3"/>
    <x v="1"/>
    <s v="EQ"/>
    <n v="204"/>
    <n v="209.84"/>
    <n v="202.25"/>
    <n v="203.97"/>
    <n v="208.52"/>
    <n v="209.09"/>
    <n v="207.68"/>
    <n v="209.84"/>
    <n v="73"/>
    <n v="65698266"/>
    <n v="13643995174.030001"/>
    <n v="395061"/>
  </r>
  <r>
    <x v="187"/>
    <x v="8"/>
    <x v="4"/>
    <x v="1"/>
    <s v="EQ"/>
    <n v="199.71"/>
    <n v="204.5"/>
    <n v="194.56"/>
    <n v="200.56"/>
    <n v="203.7"/>
    <n v="203.97"/>
    <n v="201.16"/>
    <n v="207.2"/>
    <n v="73"/>
    <n v="53536850"/>
    <n v="10769399698.23"/>
    <n v="405038"/>
  </r>
  <r>
    <x v="188"/>
    <x v="9"/>
    <x v="0"/>
    <x v="1"/>
    <s v="EQ"/>
    <n v="201.3"/>
    <n v="203.92"/>
    <n v="199.1"/>
    <n v="200.15"/>
    <n v="199.8"/>
    <n v="200.56"/>
    <n v="201.91"/>
    <n v="207.2"/>
    <n v="73"/>
    <n v="37287397"/>
    <n v="7528642571.2700005"/>
    <n v="293219"/>
  </r>
  <r>
    <x v="189"/>
    <x v="9"/>
    <x v="1"/>
    <x v="1"/>
    <s v="EQ"/>
    <n v="198.2"/>
    <n v="201.5"/>
    <n v="196"/>
    <n v="197.25"/>
    <n v="199.9"/>
    <n v="200.15"/>
    <n v="198.54"/>
    <n v="207.2"/>
    <n v="73"/>
    <n v="32535933"/>
    <n v="6459556594.0699997"/>
    <n v="189827"/>
  </r>
  <r>
    <x v="190"/>
    <x v="9"/>
    <x v="2"/>
    <x v="1"/>
    <s v="EQ"/>
    <n v="202.56"/>
    <n v="203.48"/>
    <n v="196"/>
    <n v="202.27"/>
    <n v="197.4"/>
    <n v="197.25"/>
    <n v="198.09"/>
    <n v="207.2"/>
    <n v="73"/>
    <n v="38934432"/>
    <n v="7712360181.8900003"/>
    <n v="376673"/>
  </r>
  <r>
    <x v="191"/>
    <x v="9"/>
    <x v="3"/>
    <x v="1"/>
    <s v="EQ"/>
    <n v="201.75"/>
    <n v="204.7"/>
    <n v="200"/>
    <n v="198.92"/>
    <n v="202.56"/>
    <n v="202.27"/>
    <n v="202.17"/>
    <n v="207.2"/>
    <n v="73"/>
    <n v="60670560"/>
    <n v="12265799214.969999"/>
    <n v="334581"/>
  </r>
  <r>
    <x v="192"/>
    <x v="9"/>
    <x v="4"/>
    <x v="1"/>
    <s v="EQ"/>
    <n v="193.9"/>
    <n v="199.8"/>
    <n v="191.95"/>
    <n v="193.95"/>
    <n v="198.6"/>
    <n v="198.92"/>
    <n v="197.51"/>
    <n v="207.2"/>
    <n v="73"/>
    <n v="34201378"/>
    <n v="6755163316.71"/>
    <n v="209417"/>
  </r>
  <r>
    <x v="193"/>
    <x v="9"/>
    <x v="0"/>
    <x v="1"/>
    <s v="EQ"/>
    <n v="197.9"/>
    <n v="199.95"/>
    <n v="193.05"/>
    <n v="197.05"/>
    <n v="193.9"/>
    <n v="193.95"/>
    <n v="195.97"/>
    <n v="207.2"/>
    <n v="72.55"/>
    <n v="37841138"/>
    <n v="7415651641.8299999"/>
    <n v="210302"/>
  </r>
  <r>
    <x v="194"/>
    <x v="9"/>
    <x v="1"/>
    <x v="1"/>
    <s v="EQ"/>
    <n v="199.99"/>
    <n v="201.8"/>
    <n v="195"/>
    <n v="198.49"/>
    <n v="196.69"/>
    <n v="197.05"/>
    <n v="197.76"/>
    <n v="207.2"/>
    <n v="72.55"/>
    <n v="44395214"/>
    <n v="8779400623.3400002"/>
    <n v="229496"/>
  </r>
  <r>
    <x v="195"/>
    <x v="9"/>
    <x v="2"/>
    <x v="1"/>
    <s v="EQ"/>
    <n v="190"/>
    <n v="201"/>
    <n v="189.56"/>
    <n v="188.61"/>
    <n v="198"/>
    <n v="198.49"/>
    <n v="196.81"/>
    <n v="207.2"/>
    <n v="72.55"/>
    <n v="112274897"/>
    <n v="22097056629.959999"/>
    <n v="558321"/>
  </r>
  <r>
    <x v="196"/>
    <x v="9"/>
    <x v="3"/>
    <x v="1"/>
    <s v="EQ"/>
    <n v="187.5"/>
    <n v="189.1"/>
    <n v="184.8"/>
    <n v="186.24"/>
    <n v="188.85"/>
    <n v="188.61"/>
    <n v="187.37"/>
    <n v="207.2"/>
    <n v="72.55"/>
    <n v="40633379"/>
    <n v="7613294938.4499998"/>
    <n v="231535"/>
  </r>
  <r>
    <x v="197"/>
    <x v="9"/>
    <x v="0"/>
    <x v="1"/>
    <s v="EQ"/>
    <n v="185.7"/>
    <n v="186.6"/>
    <n v="184.05"/>
    <n v="184.94"/>
    <n v="186.19"/>
    <n v="186.24"/>
    <n v="185.75"/>
    <n v="207.2"/>
    <n v="72.55"/>
    <n v="29823712"/>
    <n v="5539710263.2799997"/>
    <n v="323579"/>
  </r>
  <r>
    <x v="198"/>
    <x v="9"/>
    <x v="1"/>
    <x v="1"/>
    <s v="EQ"/>
    <n v="183.8"/>
    <n v="185.8"/>
    <n v="180.15"/>
    <n v="179.65"/>
    <n v="185.09"/>
    <n v="184.94"/>
    <n v="183.69"/>
    <n v="207.2"/>
    <n v="72.55"/>
    <n v="47891484"/>
    <n v="8797133900.3199997"/>
    <n v="206144"/>
  </r>
  <r>
    <x v="199"/>
    <x v="9"/>
    <x v="2"/>
    <x v="1"/>
    <s v="EQ"/>
    <n v="184.39"/>
    <n v="184.88"/>
    <n v="179.33"/>
    <n v="184.02"/>
    <n v="180"/>
    <n v="179.65"/>
    <n v="181.01"/>
    <n v="207.2"/>
    <n v="72.55"/>
    <n v="42830411"/>
    <n v="7752603236.3900003"/>
    <n v="221709"/>
  </r>
  <r>
    <x v="200"/>
    <x v="9"/>
    <x v="3"/>
    <x v="1"/>
    <s v="EQ"/>
    <n v="182.6"/>
    <n v="186"/>
    <n v="180.1"/>
    <n v="182.16"/>
    <n v="183.9"/>
    <n v="184.02"/>
    <n v="183.36"/>
    <n v="207.2"/>
    <n v="72.55"/>
    <n v="41803815"/>
    <n v="7665083489.6899996"/>
    <n v="213388"/>
  </r>
  <r>
    <x v="201"/>
    <x v="9"/>
    <x v="4"/>
    <x v="1"/>
    <s v="EQ"/>
    <n v="184"/>
    <n v="186.5"/>
    <n v="181.56"/>
    <n v="184"/>
    <n v="182"/>
    <n v="182.16"/>
    <n v="183.03"/>
    <n v="207.2"/>
    <n v="72.55"/>
    <n v="33163473"/>
    <n v="6070063924.6300001"/>
    <n v="192800"/>
  </r>
  <r>
    <x v="202"/>
    <x v="9"/>
    <x v="0"/>
    <x v="1"/>
    <s v="EQ"/>
    <n v="182.5"/>
    <n v="187"/>
    <n v="180.7"/>
    <n v="183.65"/>
    <n v="183.1"/>
    <n v="184"/>
    <n v="184.91"/>
    <n v="207.2"/>
    <n v="69.599999999999994"/>
    <n v="33175407"/>
    <n v="6134368356.6999998"/>
    <n v="150111"/>
  </r>
  <r>
    <x v="203"/>
    <x v="9"/>
    <x v="1"/>
    <x v="1"/>
    <s v="EQ"/>
    <n v="185"/>
    <n v="185.8"/>
    <n v="182.5"/>
    <n v="183.8"/>
    <n v="183.1"/>
    <n v="183.65"/>
    <n v="184.37"/>
    <n v="207.2"/>
    <n v="69.599999999999994"/>
    <n v="20887553"/>
    <n v="3851097193.0500002"/>
    <n v="141222"/>
  </r>
  <r>
    <x v="204"/>
    <x v="9"/>
    <x v="2"/>
    <x v="1"/>
    <s v="EQ"/>
    <n v="175"/>
    <n v="185.3"/>
    <n v="166.75"/>
    <n v="172"/>
    <n v="183.9"/>
    <n v="183.8"/>
    <n v="180.66"/>
    <n v="207.2"/>
    <n v="69.599999999999994"/>
    <n v="57213537"/>
    <n v="10336192896.700001"/>
    <n v="315554"/>
  </r>
  <r>
    <x v="205"/>
    <x v="9"/>
    <x v="3"/>
    <x v="1"/>
    <s v="EQ"/>
    <n v="176.5"/>
    <n v="176.5"/>
    <n v="146.30000000000001"/>
    <n v="175.45"/>
    <n v="170.5"/>
    <n v="172"/>
    <n v="168.43"/>
    <n v="207.2"/>
    <n v="69.599999999999994"/>
    <n v="75272859"/>
    <n v="12678464179.75"/>
    <n v="572365"/>
  </r>
  <r>
    <x v="206"/>
    <x v="9"/>
    <x v="4"/>
    <x v="1"/>
    <s v="EQ"/>
    <n v="184.5"/>
    <n v="185.5"/>
    <n v="175"/>
    <n v="179.15"/>
    <n v="175.45"/>
    <n v="175.45"/>
    <n v="176.94"/>
    <n v="207.2"/>
    <n v="69.599999999999994"/>
    <n v="53437123"/>
    <n v="9455211608.75"/>
    <n v="351780"/>
  </r>
  <r>
    <x v="207"/>
    <x v="10"/>
    <x v="0"/>
    <x v="1"/>
    <s v="EQ"/>
    <n v="178.8"/>
    <n v="183.15"/>
    <n v="171.25"/>
    <n v="180.6"/>
    <n v="179.5"/>
    <n v="179.15"/>
    <n v="177.49"/>
    <n v="207.2"/>
    <n v="66.3"/>
    <n v="149283415"/>
    <n v="26496167993.599998"/>
    <n v="456285"/>
  </r>
  <r>
    <x v="208"/>
    <x v="10"/>
    <x v="1"/>
    <x v="1"/>
    <s v="EQ"/>
    <n v="183"/>
    <n v="185"/>
    <n v="179"/>
    <n v="183.35"/>
    <n v="181"/>
    <n v="180.6"/>
    <n v="181.47"/>
    <n v="207.2"/>
    <n v="66.3"/>
    <n v="33684173"/>
    <n v="6112506971.1499996"/>
    <n v="189332"/>
  </r>
  <r>
    <x v="209"/>
    <x v="10"/>
    <x v="2"/>
    <x v="1"/>
    <s v="EQ"/>
    <n v="180.55"/>
    <n v="185.4"/>
    <n v="180"/>
    <n v="181.6"/>
    <n v="183.45"/>
    <n v="183.35"/>
    <n v="183.43"/>
    <n v="207.2"/>
    <n v="66.3"/>
    <n v="30888209"/>
    <n v="5665780517.8500004"/>
    <n v="248641"/>
  </r>
  <r>
    <x v="210"/>
    <x v="10"/>
    <x v="3"/>
    <x v="1"/>
    <s v="EQ"/>
    <n v="184.35"/>
    <n v="184.8"/>
    <n v="180.4"/>
    <n v="183.65"/>
    <n v="180.9"/>
    <n v="181.6"/>
    <n v="182.23"/>
    <n v="207.2"/>
    <n v="66.3"/>
    <n v="34444521"/>
    <n v="6276713084.5500002"/>
    <n v="159815"/>
  </r>
  <r>
    <x v="211"/>
    <x v="10"/>
    <x v="4"/>
    <x v="1"/>
    <s v="EQ"/>
    <n v="183.9"/>
    <n v="185.45"/>
    <n v="178.4"/>
    <n v="182.9"/>
    <n v="184.1"/>
    <n v="183.65"/>
    <n v="182.5"/>
    <n v="207.2"/>
    <n v="66.3"/>
    <n v="47652253"/>
    <n v="8696471573.6499996"/>
    <n v="357300"/>
  </r>
  <r>
    <x v="212"/>
    <x v="10"/>
    <x v="0"/>
    <x v="1"/>
    <s v="EQ"/>
    <n v="188"/>
    <n v="188"/>
    <n v="179.1"/>
    <n v="186.8"/>
    <n v="182.5"/>
    <n v="182.9"/>
    <n v="183.94"/>
    <n v="207.2"/>
    <n v="61.8"/>
    <n v="37064093"/>
    <n v="6817487250.1000004"/>
    <n v="300765"/>
  </r>
  <r>
    <x v="213"/>
    <x v="10"/>
    <x v="1"/>
    <x v="1"/>
    <s v="EQ"/>
    <n v="186.5"/>
    <n v="189.4"/>
    <n v="184.5"/>
    <n v="185.5"/>
    <n v="187.3"/>
    <n v="186.8"/>
    <n v="186.93"/>
    <n v="207.2"/>
    <n v="61.8"/>
    <n v="20931137"/>
    <n v="3912745280.5500002"/>
    <n v="247731"/>
  </r>
  <r>
    <x v="214"/>
    <x v="10"/>
    <x v="2"/>
    <x v="1"/>
    <s v="EQ"/>
    <n v="190"/>
    <n v="190"/>
    <n v="183.35"/>
    <n v="189.1"/>
    <n v="185.6"/>
    <n v="185.5"/>
    <n v="185.44"/>
    <n v="207.2"/>
    <n v="61.8"/>
    <n v="40374419"/>
    <n v="7487062421.4499998"/>
    <n v="331491"/>
  </r>
  <r>
    <x v="215"/>
    <x v="10"/>
    <x v="3"/>
    <x v="1"/>
    <s v="EQ"/>
    <n v="194.4"/>
    <n v="196.5"/>
    <n v="188.75"/>
    <n v="194.4"/>
    <n v="189.1"/>
    <n v="189.1"/>
    <n v="191.18"/>
    <n v="207.2"/>
    <n v="61.8"/>
    <n v="33453174"/>
    <n v="6395499560.75"/>
    <n v="515943"/>
  </r>
  <r>
    <x v="216"/>
    <x v="10"/>
    <x v="5"/>
    <x v="1"/>
    <s v="EQ"/>
    <n v="194.75"/>
    <n v="195.7"/>
    <n v="194.1"/>
    <n v="194.85"/>
    <n v="194.5"/>
    <n v="194.4"/>
    <n v="194.76"/>
    <n v="207.2"/>
    <n v="61.8"/>
    <n v="2548204"/>
    <n v="496292477.30000001"/>
    <n v="20507"/>
  </r>
  <r>
    <x v="217"/>
    <x v="10"/>
    <x v="0"/>
    <x v="1"/>
    <s v="EQ"/>
    <n v="195.15"/>
    <n v="196"/>
    <n v="193.1"/>
    <n v="195.2"/>
    <n v="194.9"/>
    <n v="194.85"/>
    <n v="194.57"/>
    <n v="207.2"/>
    <n v="61.8"/>
    <n v="20841351"/>
    <n v="4055055008.4499998"/>
    <n v="136475"/>
  </r>
  <r>
    <x v="218"/>
    <x v="10"/>
    <x v="1"/>
    <x v="1"/>
    <s v="EQ"/>
    <n v="192.9"/>
    <n v="195.85"/>
    <n v="189"/>
    <n v="192"/>
    <n v="194.4"/>
    <n v="195.2"/>
    <n v="193.89"/>
    <n v="207.2"/>
    <n v="61.8"/>
    <n v="35478593"/>
    <n v="6878946191.8000002"/>
    <n v="209064"/>
  </r>
  <r>
    <x v="219"/>
    <x v="10"/>
    <x v="2"/>
    <x v="1"/>
    <s v="EQ"/>
    <n v="188.8"/>
    <n v="193.4"/>
    <n v="183.15"/>
    <n v="187.3"/>
    <n v="191.3"/>
    <n v="192"/>
    <n v="189.94"/>
    <n v="207.2"/>
    <n v="61.8"/>
    <n v="44772997"/>
    <n v="8504055895.25"/>
    <n v="310554"/>
  </r>
  <r>
    <x v="220"/>
    <x v="10"/>
    <x v="3"/>
    <x v="1"/>
    <s v="EQ"/>
    <n v="191.7"/>
    <n v="193.45"/>
    <n v="182.1"/>
    <n v="194.3"/>
    <n v="187.6"/>
    <n v="187.3"/>
    <n v="187.94"/>
    <n v="207.2"/>
    <n v="61.8"/>
    <n v="110070781"/>
    <n v="20686350424"/>
    <n v="626939"/>
  </r>
  <r>
    <x v="221"/>
    <x v="10"/>
    <x v="4"/>
    <x v="1"/>
    <s v="EQ"/>
    <n v="205.8"/>
    <n v="207.2"/>
    <n v="186.75"/>
    <n v="201.3"/>
    <n v="196.65"/>
    <n v="194.3"/>
    <n v="196.83"/>
    <n v="207.2"/>
    <n v="61.8"/>
    <n v="114135952"/>
    <n v="22465325302"/>
    <n v="397413"/>
  </r>
  <r>
    <x v="222"/>
    <x v="10"/>
    <x v="0"/>
    <x v="1"/>
    <s v="EQ"/>
    <n v="196.35"/>
    <n v="205"/>
    <n v="189.9"/>
    <n v="195.25"/>
    <n v="203.8"/>
    <n v="201.3"/>
    <n v="197.86"/>
    <n v="205"/>
    <n v="60.3"/>
    <n v="52717901"/>
    <n v="10431021674.85"/>
    <n v="248725"/>
  </r>
  <r>
    <x v="223"/>
    <x v="10"/>
    <x v="1"/>
    <x v="1"/>
    <s v="EQ"/>
    <n v="195"/>
    <n v="199.7"/>
    <n v="193.1"/>
    <n v="195.45"/>
    <n v="195.75"/>
    <n v="195.25"/>
    <n v="196.45"/>
    <n v="202"/>
    <n v="60.3"/>
    <n v="47274769"/>
    <n v="9286979382.0499992"/>
    <n v="194195"/>
  </r>
  <r>
    <x v="224"/>
    <x v="10"/>
    <x v="2"/>
    <x v="1"/>
    <s v="EQ"/>
    <n v="190.65"/>
    <n v="196"/>
    <n v="187.3"/>
    <n v="191.45"/>
    <n v="195.5"/>
    <n v="195.45"/>
    <n v="192.67"/>
    <n v="202"/>
    <n v="60.3"/>
    <n v="47941406"/>
    <n v="9236715782.25"/>
    <n v="178667"/>
  </r>
  <r>
    <x v="225"/>
    <x v="10"/>
    <x v="3"/>
    <x v="1"/>
    <s v="EQ"/>
    <n v="196.15"/>
    <n v="196.35"/>
    <n v="182.35"/>
    <n v="195.7"/>
    <n v="192"/>
    <n v="191.45"/>
    <n v="189.32"/>
    <n v="202"/>
    <n v="60.3"/>
    <n v="48161265"/>
    <n v="9118013967.8999996"/>
    <n v="215403"/>
  </r>
  <r>
    <x v="226"/>
    <x v="10"/>
    <x v="4"/>
    <x v="1"/>
    <s v="EQ"/>
    <n v="199"/>
    <n v="202"/>
    <n v="194.5"/>
    <n v="197.25"/>
    <n v="196.15"/>
    <n v="195.7"/>
    <n v="197.57"/>
    <n v="202"/>
    <n v="60.3"/>
    <n v="26394239"/>
    <n v="5214686978.25"/>
    <n v="165762"/>
  </r>
  <r>
    <x v="227"/>
    <x v="10"/>
    <x v="0"/>
    <x v="1"/>
    <s v="EQ"/>
    <n v="196.8"/>
    <n v="200.35"/>
    <n v="193.1"/>
    <n v="195.45"/>
    <n v="197.15"/>
    <n v="197.25"/>
    <n v="197.07"/>
    <n v="200.35"/>
    <n v="60.3"/>
    <n v="37882274"/>
    <n v="7465542627.75"/>
    <n v="165211"/>
  </r>
  <r>
    <x v="228"/>
    <x v="10"/>
    <x v="1"/>
    <x v="1"/>
    <s v="EQ"/>
    <n v="193.6"/>
    <n v="195.95"/>
    <n v="192.75"/>
    <n v="193.15"/>
    <n v="195.4"/>
    <n v="195.45"/>
    <n v="194.89"/>
    <n v="199.7"/>
    <n v="60.3"/>
    <n v="27391448"/>
    <n v="5338186584.8000002"/>
    <n v="136658"/>
  </r>
  <r>
    <x v="229"/>
    <x v="11"/>
    <x v="3"/>
    <x v="1"/>
    <s v="EQ"/>
    <n v="195"/>
    <n v="196.95"/>
    <n v="192.2"/>
    <n v="193.6"/>
    <n v="193.55"/>
    <n v="193.15"/>
    <n v="194.83"/>
    <n v="199.7"/>
    <n v="60.3"/>
    <n v="39383265"/>
    <n v="7673003556.1000004"/>
    <n v="147470"/>
  </r>
  <r>
    <x v="230"/>
    <x v="11"/>
    <x v="4"/>
    <x v="1"/>
    <s v="EQ"/>
    <n v="189.4"/>
    <n v="194.3"/>
    <n v="186.45"/>
    <n v="188.1"/>
    <n v="194"/>
    <n v="193.6"/>
    <n v="191.51"/>
    <n v="199.7"/>
    <n v="60.3"/>
    <n v="33415230"/>
    <n v="6399331434.1499996"/>
    <n v="164320"/>
  </r>
  <r>
    <x v="231"/>
    <x v="11"/>
    <x v="0"/>
    <x v="1"/>
    <s v="EQ"/>
    <n v="189"/>
    <n v="190.45"/>
    <n v="186.35"/>
    <n v="184.7"/>
    <n v="188.5"/>
    <n v="188.1"/>
    <n v="188.22"/>
    <n v="199.7"/>
    <n v="54.7"/>
    <n v="33778145"/>
    <n v="6357726398.8500004"/>
    <n v="171374"/>
  </r>
  <r>
    <x v="232"/>
    <x v="11"/>
    <x v="1"/>
    <x v="1"/>
    <s v="EQ"/>
    <n v="184"/>
    <n v="188.9"/>
    <n v="182.5"/>
    <n v="184.4"/>
    <n v="184.65"/>
    <n v="184.7"/>
    <n v="185.17"/>
    <n v="199.7"/>
    <n v="54.7"/>
    <n v="38839521"/>
    <n v="7191725942.5500002"/>
    <n v="164901"/>
  </r>
  <r>
    <x v="233"/>
    <x v="11"/>
    <x v="2"/>
    <x v="1"/>
    <s v="EQ"/>
    <n v="189"/>
    <n v="189.1"/>
    <n v="183.15"/>
    <n v="187.45"/>
    <n v="184.45"/>
    <n v="184.4"/>
    <n v="185.29"/>
    <n v="199.7"/>
    <n v="54.7"/>
    <n v="32622315"/>
    <n v="6044540663.5500002"/>
    <n v="190477"/>
  </r>
  <r>
    <x v="234"/>
    <x v="11"/>
    <x v="3"/>
    <x v="1"/>
    <s v="EQ"/>
    <n v="194.4"/>
    <n v="194.5"/>
    <n v="186.6"/>
    <n v="193.35"/>
    <n v="187.8"/>
    <n v="187.45"/>
    <n v="189.34"/>
    <n v="199.7"/>
    <n v="54.7"/>
    <n v="35740731"/>
    <n v="6767270366"/>
    <n v="187833"/>
  </r>
  <r>
    <x v="235"/>
    <x v="11"/>
    <x v="4"/>
    <x v="1"/>
    <s v="EQ"/>
    <n v="193"/>
    <n v="197.7"/>
    <n v="190.8"/>
    <n v="189.2"/>
    <n v="193.4"/>
    <n v="193.35"/>
    <n v="193.72"/>
    <n v="199.7"/>
    <n v="54.7"/>
    <n v="28792292"/>
    <n v="5577646877.25"/>
    <n v="147830"/>
  </r>
  <r>
    <x v="236"/>
    <x v="11"/>
    <x v="0"/>
    <x v="1"/>
    <s v="EQ"/>
    <n v="182.3"/>
    <n v="191"/>
    <n v="181.4"/>
    <n v="185.2"/>
    <n v="188.5"/>
    <n v="189.2"/>
    <n v="186.59"/>
    <n v="199.7"/>
    <n v="53"/>
    <n v="34112204"/>
    <n v="6364834828.0500002"/>
    <n v="176471"/>
  </r>
  <r>
    <x v="237"/>
    <x v="11"/>
    <x v="1"/>
    <x v="1"/>
    <s v="EQ"/>
    <n v="188.5"/>
    <n v="189.25"/>
    <n v="183"/>
    <n v="186.45"/>
    <n v="184.95"/>
    <n v="185.2"/>
    <n v="185.23"/>
    <n v="199.7"/>
    <n v="53"/>
    <n v="35346377"/>
    <n v="6547155896.1499996"/>
    <n v="171016"/>
  </r>
  <r>
    <x v="238"/>
    <x v="11"/>
    <x v="3"/>
    <x v="1"/>
    <s v="EQ"/>
    <n v="187"/>
    <n v="189.3"/>
    <n v="183.9"/>
    <n v="188.3"/>
    <n v="186.8"/>
    <n v="186.45"/>
    <n v="186.29"/>
    <n v="199.7"/>
    <n v="53"/>
    <n v="43273463"/>
    <n v="8061222152.6000004"/>
    <n v="247830"/>
  </r>
  <r>
    <x v="239"/>
    <x v="11"/>
    <x v="4"/>
    <x v="1"/>
    <s v="EQ"/>
    <n v="188"/>
    <n v="192.4"/>
    <n v="184.5"/>
    <n v="192.1"/>
    <n v="189.5"/>
    <n v="188.3"/>
    <n v="188.87"/>
    <n v="199.7"/>
    <n v="53"/>
    <n v="48456568"/>
    <n v="9152168583.6000004"/>
    <n v="305936"/>
  </r>
  <r>
    <x v="240"/>
    <x v="11"/>
    <x v="0"/>
    <x v="1"/>
    <s v="EQ"/>
    <n v="195.85"/>
    <n v="199.7"/>
    <n v="190.5"/>
    <n v="196.9"/>
    <n v="193.7"/>
    <n v="192.1"/>
    <n v="195.23"/>
    <n v="199.7"/>
    <n v="51.8"/>
    <n v="56543869"/>
    <n v="11039159861.299999"/>
    <n v="232283"/>
  </r>
  <r>
    <x v="241"/>
    <x v="11"/>
    <x v="2"/>
    <x v="1"/>
    <s v="EQ"/>
    <n v="195"/>
    <n v="199.6"/>
    <n v="194.05"/>
    <n v="193.7"/>
    <n v="197.3"/>
    <n v="196.9"/>
    <n v="196.98"/>
    <n v="199.6"/>
    <n v="51.8"/>
    <n v="35141522"/>
    <n v="6922124815.6000004"/>
    <n v="201550"/>
  </r>
  <r>
    <x v="242"/>
    <x v="11"/>
    <x v="3"/>
    <x v="1"/>
    <s v="EQ"/>
    <n v="192.55"/>
    <n v="195.5"/>
    <n v="188.75"/>
    <n v="191.8"/>
    <n v="194.55"/>
    <n v="193.7"/>
    <n v="193.2"/>
    <n v="195.5"/>
    <n v="51.8"/>
    <n v="30824719"/>
    <n v="5955257220.0500002"/>
    <n v="167728"/>
  </r>
  <r>
    <x v="243"/>
    <x v="11"/>
    <x v="4"/>
    <x v="1"/>
    <s v="EQ"/>
    <n v="191.6"/>
    <n v="194"/>
    <n v="190.55"/>
    <n v="190.5"/>
    <n v="192"/>
    <n v="191.8"/>
    <n v="192.36"/>
    <n v="194"/>
    <n v="51.8"/>
    <n v="23092887"/>
    <n v="4442217574.6499996"/>
    <n v="131827"/>
  </r>
  <r>
    <x v="244"/>
    <x v="11"/>
    <x v="0"/>
    <x v="1"/>
    <s v="EQ"/>
    <n v="188.25"/>
    <n v="191.8"/>
    <n v="187.25"/>
    <n v="187"/>
    <n v="190.8"/>
    <n v="190.5"/>
    <n v="190.25"/>
    <n v="191.8"/>
    <n v="50.9"/>
    <n v="35235139"/>
    <n v="6703396111.0500002"/>
    <n v="180367"/>
  </r>
  <r>
    <x v="245"/>
    <x v="11"/>
    <x v="1"/>
    <x v="1"/>
    <s v="EQ"/>
    <n v="180.5"/>
    <n v="188.15"/>
    <n v="180.25"/>
    <n v="178.3"/>
    <n v="187.45"/>
    <n v="187"/>
    <n v="184.25"/>
    <n v="189"/>
    <n v="50.9"/>
    <n v="52772054"/>
    <n v="9723382768.3500004"/>
    <n v="224944"/>
  </r>
  <r>
    <x v="246"/>
    <x v="11"/>
    <x v="2"/>
    <x v="1"/>
    <s v="EQ"/>
    <n v="181.95"/>
    <n v="182"/>
    <n v="177.85"/>
    <n v="183.1"/>
    <n v="179.15"/>
    <n v="178.3"/>
    <n v="179.95"/>
    <n v="189"/>
    <n v="50.9"/>
    <n v="24268721"/>
    <n v="4367111071.9499998"/>
    <n v="179763"/>
  </r>
  <r>
    <x v="247"/>
    <x v="11"/>
    <x v="3"/>
    <x v="1"/>
    <s v="EQ"/>
    <n v="185"/>
    <n v="185"/>
    <n v="180.75"/>
    <n v="184.5"/>
    <n v="183.25"/>
    <n v="183.1"/>
    <n v="182.52"/>
    <n v="189"/>
    <n v="50.9"/>
    <n v="36346394"/>
    <n v="6633788510.3000002"/>
    <n v="259601"/>
  </r>
  <r>
    <x v="248"/>
    <x v="11"/>
    <x v="4"/>
    <x v="1"/>
    <s v="EQ"/>
    <n v="183.9"/>
    <n v="188.2"/>
    <n v="182.75"/>
    <n v="182.1"/>
    <n v="184.1"/>
    <n v="184.5"/>
    <n v="185.49"/>
    <n v="189"/>
    <n v="50.9"/>
    <n v="20789208"/>
    <n v="3856102716.5999999"/>
    <n v="1376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49571-F2E3-47C2-9EE1-A8108241A0D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B27" firstHeaderRow="1" firstDataRow="1" firstDataCol="1"/>
  <pivotFields count="20">
    <pivotField axis="axisRow"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h="1" x="2"/>
        <item h="1" x="1"/>
        <item h="1" x="0"/>
        <item h="1" x="11"/>
        <item h="1" x="10"/>
        <item h="1" x="9"/>
        <item h="1" x="8"/>
        <item h="1" x="7"/>
        <item h="1" x="6"/>
        <item h="1" x="5"/>
        <item h="1" x="4"/>
        <item x="3"/>
        <item h="1" m="1" x="12"/>
        <item t="default"/>
      </items>
    </pivotField>
    <pivotField showAll="0">
      <items count="7">
        <item x="4"/>
        <item x="3"/>
        <item x="2"/>
        <item x="1"/>
        <item x="0"/>
        <item x="5"/>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h="1" x="1"/>
        <item h="1" x="2"/>
        <item h="1" x="3"/>
        <item x="4"/>
        <item h="1" x="5"/>
        <item t="default"/>
      </items>
    </pivotField>
    <pivotField axis="axisRow" showAll="0">
      <items count="5">
        <item x="0"/>
        <item x="1"/>
        <item x="2"/>
        <item x="3"/>
        <item t="default"/>
      </items>
    </pivotField>
  </pivotFields>
  <rowFields count="4">
    <field x="19"/>
    <field x="18"/>
    <field x="17"/>
    <field x="0"/>
  </rowFields>
  <rowItems count="24">
    <i>
      <x v="1"/>
    </i>
    <i r="1">
      <x v="4"/>
    </i>
    <i r="2">
      <x v="12"/>
    </i>
    <i r="3">
      <x v="166"/>
    </i>
    <i r="3">
      <x v="167"/>
    </i>
    <i r="3">
      <x v="168"/>
    </i>
    <i r="3">
      <x v="169"/>
    </i>
    <i r="3">
      <x v="170"/>
    </i>
    <i r="3">
      <x v="171"/>
    </i>
    <i r="3">
      <x v="172"/>
    </i>
    <i r="3">
      <x v="173"/>
    </i>
    <i r="3">
      <x v="174"/>
    </i>
    <i r="3">
      <x v="175"/>
    </i>
    <i r="3">
      <x v="176"/>
    </i>
    <i r="3">
      <x v="177"/>
    </i>
    <i r="3">
      <x v="178"/>
    </i>
    <i r="3">
      <x v="179"/>
    </i>
    <i r="3">
      <x v="180"/>
    </i>
    <i r="3">
      <x v="181"/>
    </i>
    <i r="3">
      <x v="182"/>
    </i>
    <i r="3">
      <x v="183"/>
    </i>
    <i r="3">
      <x v="184"/>
    </i>
    <i r="3">
      <x v="185"/>
    </i>
    <i r="3">
      <x v="186"/>
    </i>
  </rowItems>
  <colItems count="1">
    <i/>
  </colItems>
  <dataFields count="1">
    <dataField name="Sum of close " fld="10" baseField="0" baseItem="0"/>
  </dataFields>
  <chartFormats count="3">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C8FAB-A0A2-4B49-A863-ED889DBB823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C5" firstHeaderRow="0" firstDataRow="1" firstDataCol="1"/>
  <pivotFields count="20">
    <pivotField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4">
        <item h="1" x="2"/>
        <item h="1" x="1"/>
        <item h="1" x="0"/>
        <item h="1" x="11"/>
        <item h="1" x="10"/>
        <item h="1" x="9"/>
        <item h="1" x="8"/>
        <item h="1" x="7"/>
        <item h="1" x="6"/>
        <item h="1" x="5"/>
        <item h="1" x="4"/>
        <item x="3"/>
        <item h="1" m="1" x="12"/>
        <item t="default"/>
      </items>
    </pivotField>
    <pivotField showAll="0">
      <items count="7">
        <item x="4"/>
        <item x="3"/>
        <item x="2"/>
        <item h="1" x="1"/>
        <item h="1" x="0"/>
        <item h="1" x="5"/>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s>
  <rowFields count="1">
    <field x="1"/>
  </rowFields>
  <rowItems count="2">
    <i>
      <x v="11"/>
    </i>
    <i t="grand">
      <x/>
    </i>
  </rowItems>
  <colFields count="1">
    <field x="-2"/>
  </colFields>
  <colItems count="2">
    <i>
      <x/>
    </i>
    <i i="1">
      <x v="1"/>
    </i>
  </colItems>
  <dataFields count="2">
    <dataField name="Sum of vwap " fld="11" baseField="0" baseItem="0"/>
    <dataField name="Sum of VOLUME "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C6354-E639-440F-91CC-241E8CB19BC9}"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E20" firstHeaderRow="0" firstDataRow="1" firstDataCol="1"/>
  <pivotFields count="20">
    <pivotField axis="axisRow"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h="1" x="2"/>
        <item h="1" x="1"/>
        <item h="1" x="0"/>
        <item h="1" x="11"/>
        <item h="1" x="10"/>
        <item h="1" x="9"/>
        <item h="1" x="8"/>
        <item h="1" x="7"/>
        <item h="1" x="6"/>
        <item h="1" x="5"/>
        <item h="1" x="4"/>
        <item x="3"/>
        <item h="1" m="1" x="12"/>
        <item t="default"/>
      </items>
    </pivotField>
    <pivotField showAll="0">
      <items count="7">
        <item x="4"/>
        <item x="3"/>
        <item x="2"/>
        <item h="1" x="1"/>
        <item h="1" x="0"/>
        <item h="1" x="5"/>
        <item t="default"/>
      </items>
    </pivotField>
    <pivotField showAll="0">
      <items count="3">
        <item x="1"/>
        <item x="0"/>
        <item t="default"/>
      </items>
    </pivotField>
    <pivotField showAll="0"/>
    <pivotField dataField="1" showAll="0"/>
    <pivotField dataField="1" showAll="0"/>
    <pivotField dataField="1"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h="1" x="1"/>
        <item h="1" x="2"/>
        <item h="1" x="3"/>
        <item x="4"/>
        <item h="1" x="5"/>
        <item t="default"/>
      </items>
    </pivotField>
    <pivotField axis="axisRow" showAll="0">
      <items count="5">
        <item x="0"/>
        <item x="1"/>
        <item x="2"/>
        <item x="3"/>
        <item t="default"/>
      </items>
    </pivotField>
  </pivotFields>
  <rowFields count="4">
    <field x="19"/>
    <field x="18"/>
    <field x="17"/>
    <field x="0"/>
  </rowFields>
  <rowItems count="17">
    <i>
      <x v="1"/>
    </i>
    <i r="1">
      <x v="4"/>
    </i>
    <i r="2">
      <x v="12"/>
    </i>
    <i r="3">
      <x v="166"/>
    </i>
    <i r="3">
      <x v="167"/>
    </i>
    <i r="3">
      <x v="168"/>
    </i>
    <i r="3">
      <x v="171"/>
    </i>
    <i r="3">
      <x v="172"/>
    </i>
    <i r="3">
      <x v="173"/>
    </i>
    <i r="3">
      <x v="176"/>
    </i>
    <i r="3">
      <x v="177"/>
    </i>
    <i r="3">
      <x v="178"/>
    </i>
    <i r="3">
      <x v="181"/>
    </i>
    <i r="3">
      <x v="182"/>
    </i>
    <i r="3">
      <x v="185"/>
    </i>
    <i r="3">
      <x v="186"/>
    </i>
    <i t="grand">
      <x/>
    </i>
  </rowItems>
  <colFields count="1">
    <field x="-2"/>
  </colFields>
  <colItems count="4">
    <i>
      <x/>
    </i>
    <i i="1">
      <x v="1"/>
    </i>
    <i i="2">
      <x v="2"/>
    </i>
    <i i="3">
      <x v="3"/>
    </i>
  </colItems>
  <dataFields count="4">
    <dataField name="Sum of OPEN " fld="5" baseField="0" baseItem="0"/>
    <dataField name="Sum of LOW " fld="7" baseField="0" baseItem="0"/>
    <dataField name="Sum of HIGH " fld="6" baseField="0" baseItem="0"/>
    <dataField name="Sum of close " fld="1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1D258-3770-4449-AAD7-C5FC134096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5" firstHeaderRow="0" firstDataRow="1" firstDataCol="1"/>
  <pivotFields count="20">
    <pivotField axis="axisRow" numFmtId="15"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h="1" x="2"/>
        <item h="1" x="1"/>
        <item h="1" x="0"/>
        <item h="1" x="11"/>
        <item h="1" x="10"/>
        <item h="1" x="9"/>
        <item h="1" x="8"/>
        <item h="1" x="7"/>
        <item h="1" x="6"/>
        <item h="1" x="5"/>
        <item h="1" x="4"/>
        <item x="3"/>
        <item h="1" m="1" x="12"/>
        <item t="default"/>
      </items>
    </pivotField>
    <pivotField showAll="0">
      <items count="7">
        <item x="4"/>
        <item x="3"/>
        <item x="2"/>
        <item h="1" x="1"/>
        <item h="1" x="0"/>
        <item h="1"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dataField="1" showAll="0"/>
    <pivotField numFmtId="3" showAll="0"/>
    <pivotField numFmtId="4" showAll="0"/>
    <pivotField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5">
        <item sd="0" x="0"/>
        <item sd="0" x="1"/>
        <item sd="0" x="2"/>
        <item sd="0" x="3"/>
        <item t="default"/>
      </items>
    </pivotField>
  </pivotFields>
  <rowFields count="2">
    <field x="17"/>
    <field x="0"/>
  </rowFields>
  <rowItems count="2">
    <i>
      <x v="12"/>
    </i>
    <i t="grand">
      <x/>
    </i>
  </rowItems>
  <colFields count="1">
    <field x="-2"/>
  </colFields>
  <colItems count="2">
    <i>
      <x/>
    </i>
    <i i="1">
      <x v="1"/>
    </i>
  </colItems>
  <dataFields count="2">
    <dataField name="Sum of 52W H " fld="12" baseField="0" baseItem="0"/>
    <dataField name="Sum of 52W L " fld="13"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17" count="1" selected="0">
            <x v="1"/>
          </reference>
        </references>
      </pivotArea>
    </chartFormat>
    <chartFormat chart="5" format="7">
      <pivotArea type="data" outline="0" fieldPosition="0">
        <references count="2">
          <reference field="4294967294" count="1" selected="0">
            <x v="0"/>
          </reference>
          <reference field="17" count="1" selected="0">
            <x v="2"/>
          </reference>
        </references>
      </pivotArea>
    </chartFormat>
    <chartFormat chart="5" format="8">
      <pivotArea type="data" outline="0" fieldPosition="0">
        <references count="2">
          <reference field="4294967294" count="1" selected="0">
            <x v="0"/>
          </reference>
          <reference field="17" count="1" selected="0">
            <x v="3"/>
          </reference>
        </references>
      </pivotArea>
    </chartFormat>
    <chartFormat chart="5" format="9">
      <pivotArea type="data" outline="0" fieldPosition="0">
        <references count="2">
          <reference field="4294967294" count="1" selected="0">
            <x v="0"/>
          </reference>
          <reference field="17" count="1" selected="0">
            <x v="4"/>
          </reference>
        </references>
      </pivotArea>
    </chartFormat>
    <chartFormat chart="5" format="10">
      <pivotArea type="data" outline="0" fieldPosition="0">
        <references count="2">
          <reference field="4294967294" count="1" selected="0">
            <x v="0"/>
          </reference>
          <reference field="17" count="1" selected="0">
            <x v="5"/>
          </reference>
        </references>
      </pivotArea>
    </chartFormat>
    <chartFormat chart="5" format="11">
      <pivotArea type="data" outline="0" fieldPosition="0">
        <references count="2">
          <reference field="4294967294" count="1" selected="0">
            <x v="0"/>
          </reference>
          <reference field="17" count="1" selected="0">
            <x v="6"/>
          </reference>
        </references>
      </pivotArea>
    </chartFormat>
    <chartFormat chart="5" format="12">
      <pivotArea type="data" outline="0" fieldPosition="0">
        <references count="2">
          <reference field="4294967294" count="1" selected="0">
            <x v="0"/>
          </reference>
          <reference field="17" count="1" selected="0">
            <x v="7"/>
          </reference>
        </references>
      </pivotArea>
    </chartFormat>
    <chartFormat chart="5" format="13">
      <pivotArea type="data" outline="0" fieldPosition="0">
        <references count="2">
          <reference field="4294967294" count="1" selected="0">
            <x v="0"/>
          </reference>
          <reference field="17" count="1" selected="0">
            <x v="8"/>
          </reference>
        </references>
      </pivotArea>
    </chartFormat>
    <chartFormat chart="5" format="14">
      <pivotArea type="data" outline="0" fieldPosition="0">
        <references count="2">
          <reference field="4294967294" count="1" selected="0">
            <x v="0"/>
          </reference>
          <reference field="17" count="1" selected="0">
            <x v="9"/>
          </reference>
        </references>
      </pivotArea>
    </chartFormat>
    <chartFormat chart="5" format="15">
      <pivotArea type="data" outline="0" fieldPosition="0">
        <references count="2">
          <reference field="4294967294" count="1" selected="0">
            <x v="0"/>
          </reference>
          <reference field="17" count="1" selected="0">
            <x v="10"/>
          </reference>
        </references>
      </pivotArea>
    </chartFormat>
    <chartFormat chart="5" format="16">
      <pivotArea type="data" outline="0" fieldPosition="0">
        <references count="2">
          <reference field="4294967294" count="1" selected="0">
            <x v="0"/>
          </reference>
          <reference field="17" count="1" selected="0">
            <x v="11"/>
          </reference>
        </references>
      </pivotArea>
    </chartFormat>
    <chartFormat chart="5" format="17">
      <pivotArea type="data" outline="0" fieldPosition="0">
        <references count="2">
          <reference field="4294967294" count="1" selected="0">
            <x v="0"/>
          </reference>
          <reference field="17" count="1" selected="0">
            <x v="12"/>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 chart="0" format="7">
      <pivotArea type="data" outline="0" fieldPosition="0">
        <references count="2">
          <reference field="4294967294" count="1" selected="0">
            <x v="0"/>
          </reference>
          <reference field="17" count="1" selected="0">
            <x v="6"/>
          </reference>
        </references>
      </pivotArea>
    </chartFormat>
    <chartFormat chart="0" format="8">
      <pivotArea type="data" outline="0" fieldPosition="0">
        <references count="2">
          <reference field="4294967294" count="1" selected="0">
            <x v="0"/>
          </reference>
          <reference field="17" count="1" selected="0">
            <x v="7"/>
          </reference>
        </references>
      </pivotArea>
    </chartFormat>
    <chartFormat chart="0" format="9">
      <pivotArea type="data" outline="0" fieldPosition="0">
        <references count="2">
          <reference field="4294967294" count="1" selected="0">
            <x v="0"/>
          </reference>
          <reference field="17" count="1" selected="0">
            <x v="8"/>
          </reference>
        </references>
      </pivotArea>
    </chartFormat>
    <chartFormat chart="0" format="10">
      <pivotArea type="data" outline="0" fieldPosition="0">
        <references count="2">
          <reference field="4294967294" count="1" selected="0">
            <x v="0"/>
          </reference>
          <reference field="17" count="1" selected="0">
            <x v="9"/>
          </reference>
        </references>
      </pivotArea>
    </chartFormat>
    <chartFormat chart="0" format="11">
      <pivotArea type="data" outline="0" fieldPosition="0">
        <references count="2">
          <reference field="4294967294" count="1" selected="0">
            <x v="0"/>
          </reference>
          <reference field="17" count="1" selected="0">
            <x v="10"/>
          </reference>
        </references>
      </pivotArea>
    </chartFormat>
    <chartFormat chart="0" format="12">
      <pivotArea type="data" outline="0" fieldPosition="0">
        <references count="2">
          <reference field="4294967294" count="1" selected="0">
            <x v="0"/>
          </reference>
          <reference field="17" count="1" selected="0">
            <x v="11"/>
          </reference>
        </references>
      </pivotArea>
    </chartFormat>
    <chartFormat chart="0" format="13">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B4FBC-7BE7-47B8-A635-FC9DDD6A4C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5" firstHeaderRow="0" firstDataRow="1" firstDataCol="1"/>
  <pivotFields count="20">
    <pivotField axis="axisRow" numFmtId="15"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h="1" x="2"/>
        <item h="1" x="1"/>
        <item h="1" x="0"/>
        <item h="1" x="11"/>
        <item h="1" x="10"/>
        <item h="1" x="9"/>
        <item h="1" x="8"/>
        <item h="1" x="7"/>
        <item h="1" x="6"/>
        <item h="1" x="5"/>
        <item h="1" x="4"/>
        <item x="3"/>
        <item h="1" m="1" x="12"/>
        <item t="default"/>
      </items>
    </pivotField>
    <pivotField showAll="0">
      <items count="7">
        <item x="4"/>
        <item x="3"/>
        <item x="2"/>
        <item h="1" x="1"/>
        <item h="1" x="0"/>
        <item h="1" x="5"/>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dataField="1" showAll="0"/>
    <pivotField dataField="1" showAll="0"/>
    <pivotField dataField="1" numFmtId="3" showAll="0"/>
    <pivotField numFmtId="4" showAll="0"/>
    <pivotField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h="1" sd="0" x="0"/>
        <item h="1" sd="0" x="1"/>
        <item h="1" sd="0" x="2"/>
        <item h="1" sd="0" x="3"/>
        <item sd="0" x="4"/>
        <item h="1" sd="0" x="5"/>
      </items>
    </pivotField>
    <pivotField showAll="0" defaultSubtotal="0">
      <items count="4">
        <item sd="0" x="0"/>
        <item sd="0" x="1"/>
        <item sd="0" x="2"/>
        <item sd="0" x="3"/>
      </items>
    </pivotField>
  </pivotFields>
  <rowFields count="2">
    <field x="17"/>
    <field x="0"/>
  </rowFields>
  <rowItems count="2">
    <i>
      <x v="12"/>
    </i>
    <i t="grand">
      <x/>
    </i>
  </rowItems>
  <colFields count="1">
    <field x="-2"/>
  </colFields>
  <colItems count="4">
    <i>
      <x/>
    </i>
    <i i="1">
      <x v="1"/>
    </i>
    <i i="2">
      <x v="2"/>
    </i>
    <i i="3">
      <x v="3"/>
    </i>
  </colItems>
  <dataFields count="4">
    <dataField name="Sum of 52W H " fld="12" baseField="0" baseItem="0"/>
    <dataField name="Sum of 52W L " fld="13" baseField="0" baseItem="0"/>
    <dataField name="Average of VOLUME " fld="14" subtotal="average" baseField="17" baseItem="1" numFmtId="3"/>
    <dataField name="Sum of close " fld="1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2"/>
          </reference>
        </references>
      </pivotArea>
    </chartFormat>
    <chartFormat chart="12" format="7" series="1">
      <pivotArea type="data" outline="0" fieldPosition="0">
        <references count="1">
          <reference field="4294967294" count="1" selected="0">
            <x v="3"/>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3"/>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3F5F44-6071-472F-A9B8-D7628C5B98B7}" sourceName="year">
  <pivotTables>
    <pivotTable tabId="2" name="PivotTable1"/>
    <pivotTable tabId="15" name="PivotTable1"/>
    <pivotTable tabId="16" name="PivotTable2"/>
    <pivotTable tabId="13" name="PivotTable1"/>
    <pivotTable tabId="12" name="PivotTable1"/>
  </pivotTables>
  <data>
    <tabular pivotCacheId="1769985522">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EF0BEB-99C7-44C4-9352-D0B5183547C7}" sourceName="month">
  <pivotTables>
    <pivotTable tabId="2" name="PivotTable1"/>
    <pivotTable tabId="15" name="PivotTable1"/>
    <pivotTable tabId="16" name="PivotTable2"/>
    <pivotTable tabId="13" name="PivotTable1"/>
    <pivotTable tabId="12" name="PivotTable1"/>
  </pivotTables>
  <data>
    <tabular pivotCacheId="1769985522" sortOrder="descending">
      <items count="13">
        <i x="3" s="1"/>
        <i x="4"/>
        <i x="5"/>
        <i x="6"/>
        <i x="7"/>
        <i x="8"/>
        <i x="9"/>
        <i x="10"/>
        <i x="11"/>
        <i x="0"/>
        <i x="1"/>
        <i x="2"/>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ED9BBFA-E4D2-4168-BAA5-4A50E68CB16C}" sourceName="day">
  <pivotTables>
    <pivotTable tabId="2" name="PivotTable1"/>
    <pivotTable tabId="15" name="PivotTable1"/>
    <pivotTable tabId="16" name="PivotTable2"/>
    <pivotTable tabId="13" name="PivotTable1"/>
    <pivotTable tabId="12" name="PivotTable1"/>
  </pivotTables>
  <data>
    <tabular pivotCacheId="1769985522">
      <items count="6">
        <i x="4" s="1"/>
        <i x="3" s="1"/>
        <i x="2" s="1"/>
        <i x="1"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087161-89E6-44CA-99FA-72D3B10EC065}" cache="Slicer_year" caption="year" columnCount="2" showCaption="0" style="SlicerStyleOther1" rowHeight="241300"/>
  <slicer name="month 1" xr10:uid="{A91287C6-F3ED-47B3-9152-2CD6E710A5B8}" cache="Slicer_month" caption="month" columnCount="3" showCaption="0" style="SlicerStyleOther1" rowHeight="241300"/>
  <slicer name="day 1" xr10:uid="{B540A7B4-F09F-47AE-8523-D9D7B6927F84}" cache="Slicer_day" caption="day" startItem="3" columnCount="3" showCaption="0"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E876766-9AB6-49E0-AE20-8D6A62B8E204}" cache="Slicer_year" caption="year" columnCount="2" showCaption="0" rowHeight="241300"/>
  <slicer name="month" xr10:uid="{0C8C807B-F141-4A3C-9E62-DA9CFFEE0F31}" cache="Slicer_month" caption="month" columnCount="3" showCaption="0" rowHeight="241300"/>
  <slicer name="day" xr10:uid="{EFF79C39-A0A1-42BB-8332-27CCBCAF830B}" cache="Slicer_day" caption="day" columnCount="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E256D-75EF-4BE5-A0CF-4719A523FBEE}" name="Table1" displayName="Table1" ref="A1:Q250" totalsRowShown="0" headerRowDxfId="21" dataDxfId="19" headerRowBorderDxfId="20" tableBorderDxfId="18" totalsRowBorderDxfId="17">
  <autoFilter ref="A1:Q250" xr:uid="{D18E256D-75EF-4BE5-A0CF-4719A523FBEE}"/>
  <sortState xmlns:xlrd2="http://schemas.microsoft.com/office/spreadsheetml/2017/richdata2" ref="A2:Q250">
    <sortCondition ref="A1:A250"/>
  </sortState>
  <tableColumns count="17">
    <tableColumn id="1" xr3:uid="{B5A15082-9086-4E59-86A4-A7B15EBACBAC}" name="Date " dataDxfId="16"/>
    <tableColumn id="15" xr3:uid="{E628102F-9627-46BA-8E4A-F166A652D95A}" name="month" dataDxfId="15">
      <calculatedColumnFormula>TEXT(A2,"mmm")</calculatedColumnFormula>
    </tableColumn>
    <tableColumn id="17" xr3:uid="{5EF31628-F244-4A71-BD91-2184616A10CC}" name="day" dataDxfId="14">
      <calculatedColumnFormula>TEXT(Table1[[#This Row],[Date ]],"dddd")</calculatedColumnFormula>
    </tableColumn>
    <tableColumn id="18" xr3:uid="{6FC06CC6-0430-4066-B10A-7CD399BE7B48}" name="year" dataDxfId="13">
      <calculatedColumnFormula>TEXT(Table1[[#This Row],[Date ]],"yyyy")</calculatedColumnFormula>
    </tableColumn>
    <tableColumn id="2" xr3:uid="{13BC6F74-E94A-4E7C-B813-6F382806ED71}" name="series " dataDxfId="12"/>
    <tableColumn id="3" xr3:uid="{59E72B08-8A2C-49FA-A0E4-222D4D148786}" name="OPEN " dataDxfId="11"/>
    <tableColumn id="4" xr3:uid="{0EACE1D4-B618-4386-875D-396531EE6311}" name="HIGH " dataDxfId="10"/>
    <tableColumn id="5" xr3:uid="{1090AEBF-0F55-497D-B200-9011ACB5B134}" name="LOW " dataDxfId="9"/>
    <tableColumn id="6" xr3:uid="{217BFDC8-2524-4A25-AB47-5F54E3A54E69}" name="PREV. CLOSE " dataDxfId="8"/>
    <tableColumn id="7" xr3:uid="{71D371AB-5C22-464F-BCA0-86BE9EA93E2A}" name="ltp " dataDxfId="7"/>
    <tableColumn id="8" xr3:uid="{80FBCD1F-85A5-4333-AA9E-5E6B08420184}" name="close " dataDxfId="6"/>
    <tableColumn id="9" xr3:uid="{C90F98D1-B940-4EBA-99A3-C1523E8F7377}" name="vwap " dataDxfId="5"/>
    <tableColumn id="10" xr3:uid="{6950C0B2-DDD0-4843-AABD-554668CB9E12}" name="52W H " dataDxfId="4"/>
    <tableColumn id="11" xr3:uid="{890FFDF8-7837-424F-B7B3-0B1C0A648AA8}" name="52W L " dataDxfId="3"/>
    <tableColumn id="12" xr3:uid="{62582D96-0017-47AB-ABB7-49B7E5E5380D}" name="VOLUME " dataDxfId="2"/>
    <tableColumn id="13" xr3:uid="{4C58C296-B224-4EAE-BADB-658CF8B5E868}" name="VALUE " dataDxfId="1"/>
    <tableColumn id="14" xr3:uid="{44645E30-2D99-4890-B083-54C52EB675B1}" name="No of trades "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E03E-F14B-48F9-9698-285CC0E6F84F}">
  <sheetPr codeName="Sheet1"/>
  <dimension ref="A1:Q250"/>
  <sheetViews>
    <sheetView workbookViewId="0">
      <selection activeCell="C1" sqref="C1"/>
    </sheetView>
  </sheetViews>
  <sheetFormatPr defaultRowHeight="15" x14ac:dyDescent="0.25"/>
  <cols>
    <col min="1" max="1" width="10.140625" bestFit="1" customWidth="1"/>
    <col min="2" max="2" width="10.140625" customWidth="1"/>
    <col min="3" max="3" width="11.42578125" bestFit="1" customWidth="1"/>
    <col min="4" max="4" width="10.140625" customWidth="1"/>
    <col min="9" max="9" width="14.5703125" customWidth="1"/>
    <col min="10" max="10" width="7" bestFit="1" customWidth="1"/>
    <col min="13" max="13" width="9.28515625" customWidth="1"/>
    <col min="15" max="15" width="11.7109375" bestFit="1" customWidth="1"/>
    <col min="16" max="16" width="18.7109375" bestFit="1" customWidth="1"/>
    <col min="17" max="17" width="14.42578125" customWidth="1"/>
  </cols>
  <sheetData>
    <row r="1" spans="1:17" x14ac:dyDescent="0.25">
      <c r="A1" s="12" t="s">
        <v>0</v>
      </c>
      <c r="B1" s="18" t="s">
        <v>17</v>
      </c>
      <c r="C1" s="12" t="s">
        <v>18</v>
      </c>
      <c r="D1" s="12" t="s">
        <v>19</v>
      </c>
      <c r="E1" s="12" t="s">
        <v>1</v>
      </c>
      <c r="F1" s="12" t="s">
        <v>2</v>
      </c>
      <c r="G1" s="12" t="s">
        <v>3</v>
      </c>
      <c r="H1" s="12" t="s">
        <v>4</v>
      </c>
      <c r="I1" s="12" t="s">
        <v>5</v>
      </c>
      <c r="J1" s="12" t="s">
        <v>6</v>
      </c>
      <c r="K1" s="12" t="s">
        <v>7</v>
      </c>
      <c r="L1" s="12" t="s">
        <v>8</v>
      </c>
      <c r="M1" s="12" t="s">
        <v>9</v>
      </c>
      <c r="N1" s="12" t="s">
        <v>10</v>
      </c>
      <c r="O1" s="12" t="s">
        <v>11</v>
      </c>
      <c r="P1" s="12" t="s">
        <v>12</v>
      </c>
      <c r="Q1" s="12" t="s">
        <v>13</v>
      </c>
    </row>
    <row r="2" spans="1:17" x14ac:dyDescent="0.25">
      <c r="A2" s="9">
        <v>45383</v>
      </c>
      <c r="B2" s="10" t="str">
        <f t="shared" ref="B2:B65" si="0">TEXT(A2,"mmm")</f>
        <v>Apr</v>
      </c>
      <c r="C2" s="9" t="str">
        <f>TEXT(Table1[[#This Row],[Date ]],"dddd")</f>
        <v>Monday</v>
      </c>
      <c r="D2" s="9" t="str">
        <f>TEXT(Table1[[#This Row],[Date ]],"yyyy")</f>
        <v>2024</v>
      </c>
      <c r="E2" s="3" t="s">
        <v>14</v>
      </c>
      <c r="F2" s="3">
        <v>183.9</v>
      </c>
      <c r="G2" s="3">
        <v>188.2</v>
      </c>
      <c r="H2" s="3">
        <v>182.75</v>
      </c>
      <c r="I2" s="3">
        <v>182.1</v>
      </c>
      <c r="J2" s="3">
        <v>184.1</v>
      </c>
      <c r="K2" s="3">
        <v>184.5</v>
      </c>
      <c r="L2" s="3">
        <v>185.49</v>
      </c>
      <c r="M2" s="3">
        <v>189</v>
      </c>
      <c r="N2" s="3">
        <v>50.9</v>
      </c>
      <c r="O2" s="5">
        <v>20789208</v>
      </c>
      <c r="P2" s="6">
        <v>3856102716.5999999</v>
      </c>
      <c r="Q2" s="5">
        <v>137669</v>
      </c>
    </row>
    <row r="3" spans="1:17" x14ac:dyDescent="0.25">
      <c r="A3" s="10">
        <v>45384</v>
      </c>
      <c r="B3" s="10" t="str">
        <f t="shared" si="0"/>
        <v>Apr</v>
      </c>
      <c r="C3" s="10" t="str">
        <f>TEXT(Table1[[#This Row],[Date ]],"dddd")</f>
        <v>Tuesday</v>
      </c>
      <c r="D3" s="10" t="str">
        <f>TEXT(Table1[[#This Row],[Date ]],"yyyy")</f>
        <v>2024</v>
      </c>
      <c r="E3" s="4" t="s">
        <v>14</v>
      </c>
      <c r="F3" s="4">
        <v>185</v>
      </c>
      <c r="G3" s="4">
        <v>185</v>
      </c>
      <c r="H3" s="4">
        <v>180.75</v>
      </c>
      <c r="I3" s="4">
        <v>184.5</v>
      </c>
      <c r="J3" s="4">
        <v>183.25</v>
      </c>
      <c r="K3" s="4">
        <v>183.1</v>
      </c>
      <c r="L3" s="4">
        <v>182.52</v>
      </c>
      <c r="M3" s="4">
        <v>189</v>
      </c>
      <c r="N3" s="4">
        <v>50.9</v>
      </c>
      <c r="O3" s="7">
        <v>36346394</v>
      </c>
      <c r="P3" s="8">
        <v>6633788510.3000002</v>
      </c>
      <c r="Q3" s="7">
        <v>259601</v>
      </c>
    </row>
    <row r="4" spans="1:17" x14ac:dyDescent="0.25">
      <c r="A4" s="9">
        <v>45385</v>
      </c>
      <c r="B4" s="10" t="str">
        <f t="shared" si="0"/>
        <v>Apr</v>
      </c>
      <c r="C4" s="9" t="str">
        <f>TEXT(Table1[[#This Row],[Date ]],"dddd")</f>
        <v>Wednesday</v>
      </c>
      <c r="D4" s="9" t="str">
        <f>TEXT(Table1[[#This Row],[Date ]],"yyyy")</f>
        <v>2024</v>
      </c>
      <c r="E4" s="3" t="s">
        <v>14</v>
      </c>
      <c r="F4" s="3">
        <v>181.95</v>
      </c>
      <c r="G4" s="3">
        <v>182</v>
      </c>
      <c r="H4" s="3">
        <v>177.85</v>
      </c>
      <c r="I4" s="3">
        <v>183.1</v>
      </c>
      <c r="J4" s="3">
        <v>179.15</v>
      </c>
      <c r="K4" s="3">
        <v>178.3</v>
      </c>
      <c r="L4" s="3">
        <v>179.95</v>
      </c>
      <c r="M4" s="3">
        <v>189</v>
      </c>
      <c r="N4" s="3">
        <v>50.9</v>
      </c>
      <c r="O4" s="5">
        <v>24268721</v>
      </c>
      <c r="P4" s="6">
        <v>4367111071.9499998</v>
      </c>
      <c r="Q4" s="5">
        <v>179763</v>
      </c>
    </row>
    <row r="5" spans="1:17" x14ac:dyDescent="0.25">
      <c r="A5" s="10">
        <v>45386</v>
      </c>
      <c r="B5" s="10" t="str">
        <f t="shared" si="0"/>
        <v>Apr</v>
      </c>
      <c r="C5" s="10" t="str">
        <f>TEXT(Table1[[#This Row],[Date ]],"dddd")</f>
        <v>Thursday</v>
      </c>
      <c r="D5" s="10" t="str">
        <f>TEXT(Table1[[#This Row],[Date ]],"yyyy")</f>
        <v>2024</v>
      </c>
      <c r="E5" s="4" t="s">
        <v>14</v>
      </c>
      <c r="F5" s="4">
        <v>180.5</v>
      </c>
      <c r="G5" s="4">
        <v>188.15</v>
      </c>
      <c r="H5" s="4">
        <v>180.25</v>
      </c>
      <c r="I5" s="4">
        <v>178.3</v>
      </c>
      <c r="J5" s="4">
        <v>187.45</v>
      </c>
      <c r="K5" s="4">
        <v>187</v>
      </c>
      <c r="L5" s="4">
        <v>184.25</v>
      </c>
      <c r="M5" s="4">
        <v>189</v>
      </c>
      <c r="N5" s="4">
        <v>50.9</v>
      </c>
      <c r="O5" s="7">
        <v>52772054</v>
      </c>
      <c r="P5" s="8">
        <v>9723382768.3500004</v>
      </c>
      <c r="Q5" s="7">
        <v>224944</v>
      </c>
    </row>
    <row r="6" spans="1:17" x14ac:dyDescent="0.25">
      <c r="A6" s="9">
        <v>45387</v>
      </c>
      <c r="B6" s="10" t="str">
        <f t="shared" si="0"/>
        <v>Apr</v>
      </c>
      <c r="C6" s="9" t="str">
        <f>TEXT(Table1[[#This Row],[Date ]],"dddd")</f>
        <v>Friday</v>
      </c>
      <c r="D6" s="9" t="str">
        <f>TEXT(Table1[[#This Row],[Date ]],"yyyy")</f>
        <v>2024</v>
      </c>
      <c r="E6" s="3" t="s">
        <v>14</v>
      </c>
      <c r="F6" s="3">
        <v>188.25</v>
      </c>
      <c r="G6" s="3">
        <v>191.8</v>
      </c>
      <c r="H6" s="3">
        <v>187.25</v>
      </c>
      <c r="I6" s="3">
        <v>187</v>
      </c>
      <c r="J6" s="3">
        <v>190.8</v>
      </c>
      <c r="K6" s="3">
        <v>190.5</v>
      </c>
      <c r="L6" s="3">
        <v>190.25</v>
      </c>
      <c r="M6" s="3">
        <v>191.8</v>
      </c>
      <c r="N6" s="3">
        <v>50.9</v>
      </c>
      <c r="O6" s="5">
        <v>35235139</v>
      </c>
      <c r="P6" s="6">
        <v>6703396111.0500002</v>
      </c>
      <c r="Q6" s="5">
        <v>180367</v>
      </c>
    </row>
    <row r="7" spans="1:17" x14ac:dyDescent="0.25">
      <c r="A7" s="10">
        <v>45390</v>
      </c>
      <c r="B7" s="10" t="str">
        <f t="shared" si="0"/>
        <v>Apr</v>
      </c>
      <c r="C7" s="10" t="str">
        <f>TEXT(Table1[[#This Row],[Date ]],"dddd")</f>
        <v>Monday</v>
      </c>
      <c r="D7" s="10" t="str">
        <f>TEXT(Table1[[#This Row],[Date ]],"yyyy")</f>
        <v>2024</v>
      </c>
      <c r="E7" s="4" t="s">
        <v>14</v>
      </c>
      <c r="F7" s="4">
        <v>191.6</v>
      </c>
      <c r="G7" s="4">
        <v>194</v>
      </c>
      <c r="H7" s="4">
        <v>190.55</v>
      </c>
      <c r="I7" s="4">
        <v>190.5</v>
      </c>
      <c r="J7" s="4">
        <v>192</v>
      </c>
      <c r="K7" s="4">
        <v>191.8</v>
      </c>
      <c r="L7" s="4">
        <v>192.36</v>
      </c>
      <c r="M7" s="4">
        <v>194</v>
      </c>
      <c r="N7" s="4">
        <v>51.8</v>
      </c>
      <c r="O7" s="7">
        <v>23092887</v>
      </c>
      <c r="P7" s="8">
        <v>4442217574.6499996</v>
      </c>
      <c r="Q7" s="7">
        <v>131827</v>
      </c>
    </row>
    <row r="8" spans="1:17" x14ac:dyDescent="0.25">
      <c r="A8" s="9">
        <v>45391</v>
      </c>
      <c r="B8" s="10" t="str">
        <f t="shared" si="0"/>
        <v>Apr</v>
      </c>
      <c r="C8" s="9" t="str">
        <f>TEXT(Table1[[#This Row],[Date ]],"dddd")</f>
        <v>Tuesday</v>
      </c>
      <c r="D8" s="9" t="str">
        <f>TEXT(Table1[[#This Row],[Date ]],"yyyy")</f>
        <v>2024</v>
      </c>
      <c r="E8" s="3" t="s">
        <v>14</v>
      </c>
      <c r="F8" s="3">
        <v>192.55</v>
      </c>
      <c r="G8" s="3">
        <v>195.5</v>
      </c>
      <c r="H8" s="3">
        <v>188.75</v>
      </c>
      <c r="I8" s="3">
        <v>191.8</v>
      </c>
      <c r="J8" s="3">
        <v>194.55</v>
      </c>
      <c r="K8" s="3">
        <v>193.7</v>
      </c>
      <c r="L8" s="3">
        <v>193.2</v>
      </c>
      <c r="M8" s="3">
        <v>195.5</v>
      </c>
      <c r="N8" s="3">
        <v>51.8</v>
      </c>
      <c r="O8" s="5">
        <v>30824719</v>
      </c>
      <c r="P8" s="6">
        <v>5955257220.0500002</v>
      </c>
      <c r="Q8" s="5">
        <v>167728</v>
      </c>
    </row>
    <row r="9" spans="1:17" x14ac:dyDescent="0.25">
      <c r="A9" s="10">
        <v>45392</v>
      </c>
      <c r="B9" s="10" t="str">
        <f t="shared" si="0"/>
        <v>Apr</v>
      </c>
      <c r="C9" s="10" t="str">
        <f>TEXT(Table1[[#This Row],[Date ]],"dddd")</f>
        <v>Wednesday</v>
      </c>
      <c r="D9" s="10" t="str">
        <f>TEXT(Table1[[#This Row],[Date ]],"yyyy")</f>
        <v>2024</v>
      </c>
      <c r="E9" s="4" t="s">
        <v>14</v>
      </c>
      <c r="F9" s="4">
        <v>195</v>
      </c>
      <c r="G9" s="4">
        <v>199.6</v>
      </c>
      <c r="H9" s="4">
        <v>194.05</v>
      </c>
      <c r="I9" s="4">
        <v>193.7</v>
      </c>
      <c r="J9" s="4">
        <v>197.3</v>
      </c>
      <c r="K9" s="4">
        <v>196.9</v>
      </c>
      <c r="L9" s="4">
        <v>196.98</v>
      </c>
      <c r="M9" s="4">
        <v>199.6</v>
      </c>
      <c r="N9" s="4">
        <v>51.8</v>
      </c>
      <c r="O9" s="7">
        <v>35141522</v>
      </c>
      <c r="P9" s="8">
        <v>6922124815.6000004</v>
      </c>
      <c r="Q9" s="7">
        <v>201550</v>
      </c>
    </row>
    <row r="10" spans="1:17" x14ac:dyDescent="0.25">
      <c r="A10" s="9">
        <v>45394</v>
      </c>
      <c r="B10" s="10" t="str">
        <f t="shared" si="0"/>
        <v>Apr</v>
      </c>
      <c r="C10" s="9" t="str">
        <f>TEXT(Table1[[#This Row],[Date ]],"dddd")</f>
        <v>Friday</v>
      </c>
      <c r="D10" s="9" t="str">
        <f>TEXT(Table1[[#This Row],[Date ]],"yyyy")</f>
        <v>2024</v>
      </c>
      <c r="E10" s="3" t="s">
        <v>14</v>
      </c>
      <c r="F10" s="3">
        <v>195.85</v>
      </c>
      <c r="G10" s="3">
        <v>199.7</v>
      </c>
      <c r="H10" s="3">
        <v>190.5</v>
      </c>
      <c r="I10" s="3">
        <v>196.9</v>
      </c>
      <c r="J10" s="3">
        <v>193.7</v>
      </c>
      <c r="K10" s="3">
        <v>192.1</v>
      </c>
      <c r="L10" s="3">
        <v>195.23</v>
      </c>
      <c r="M10" s="3">
        <v>199.7</v>
      </c>
      <c r="N10" s="3">
        <v>51.8</v>
      </c>
      <c r="O10" s="5">
        <v>56543869</v>
      </c>
      <c r="P10" s="6">
        <v>11039159861.299999</v>
      </c>
      <c r="Q10" s="5">
        <v>232283</v>
      </c>
    </row>
    <row r="11" spans="1:17" x14ac:dyDescent="0.25">
      <c r="A11" s="10">
        <v>45397</v>
      </c>
      <c r="B11" s="10" t="str">
        <f t="shared" si="0"/>
        <v>Apr</v>
      </c>
      <c r="C11" s="10" t="str">
        <f>TEXT(Table1[[#This Row],[Date ]],"dddd")</f>
        <v>Monday</v>
      </c>
      <c r="D11" s="10" t="str">
        <f>TEXT(Table1[[#This Row],[Date ]],"yyyy")</f>
        <v>2024</v>
      </c>
      <c r="E11" s="4" t="s">
        <v>14</v>
      </c>
      <c r="F11" s="4">
        <v>188</v>
      </c>
      <c r="G11" s="4">
        <v>192.4</v>
      </c>
      <c r="H11" s="4">
        <v>184.5</v>
      </c>
      <c r="I11" s="4">
        <v>192.1</v>
      </c>
      <c r="J11" s="4">
        <v>189.5</v>
      </c>
      <c r="K11" s="4">
        <v>188.3</v>
      </c>
      <c r="L11" s="4">
        <v>188.87</v>
      </c>
      <c r="M11" s="4">
        <v>199.7</v>
      </c>
      <c r="N11" s="4">
        <v>53</v>
      </c>
      <c r="O11" s="7">
        <v>48456568</v>
      </c>
      <c r="P11" s="8">
        <v>9152168583.6000004</v>
      </c>
      <c r="Q11" s="7">
        <v>305936</v>
      </c>
    </row>
    <row r="12" spans="1:17" x14ac:dyDescent="0.25">
      <c r="A12" s="9">
        <v>45398</v>
      </c>
      <c r="B12" s="10" t="str">
        <f t="shared" si="0"/>
        <v>Apr</v>
      </c>
      <c r="C12" s="9" t="str">
        <f>TEXT(Table1[[#This Row],[Date ]],"dddd")</f>
        <v>Tuesday</v>
      </c>
      <c r="D12" s="9" t="str">
        <f>TEXT(Table1[[#This Row],[Date ]],"yyyy")</f>
        <v>2024</v>
      </c>
      <c r="E12" s="3" t="s">
        <v>14</v>
      </c>
      <c r="F12" s="3">
        <v>187</v>
      </c>
      <c r="G12" s="3">
        <v>189.3</v>
      </c>
      <c r="H12" s="3">
        <v>183.9</v>
      </c>
      <c r="I12" s="3">
        <v>188.3</v>
      </c>
      <c r="J12" s="3">
        <v>186.8</v>
      </c>
      <c r="K12" s="3">
        <v>186.45</v>
      </c>
      <c r="L12" s="3">
        <v>186.29</v>
      </c>
      <c r="M12" s="3">
        <v>199.7</v>
      </c>
      <c r="N12" s="3">
        <v>53</v>
      </c>
      <c r="O12" s="5">
        <v>43273463</v>
      </c>
      <c r="P12" s="6">
        <v>8061222152.6000004</v>
      </c>
      <c r="Q12" s="5">
        <v>247830</v>
      </c>
    </row>
    <row r="13" spans="1:17" x14ac:dyDescent="0.25">
      <c r="A13" s="10">
        <v>45400</v>
      </c>
      <c r="B13" s="10" t="str">
        <f t="shared" si="0"/>
        <v>Apr</v>
      </c>
      <c r="C13" s="10" t="str">
        <f>TEXT(Table1[[#This Row],[Date ]],"dddd")</f>
        <v>Thursday</v>
      </c>
      <c r="D13" s="10" t="str">
        <f>TEXT(Table1[[#This Row],[Date ]],"yyyy")</f>
        <v>2024</v>
      </c>
      <c r="E13" s="4" t="s">
        <v>14</v>
      </c>
      <c r="F13" s="4">
        <v>188.5</v>
      </c>
      <c r="G13" s="4">
        <v>189.25</v>
      </c>
      <c r="H13" s="4">
        <v>183</v>
      </c>
      <c r="I13" s="4">
        <v>186.45</v>
      </c>
      <c r="J13" s="4">
        <v>184.95</v>
      </c>
      <c r="K13" s="4">
        <v>185.2</v>
      </c>
      <c r="L13" s="4">
        <v>185.23</v>
      </c>
      <c r="M13" s="4">
        <v>199.7</v>
      </c>
      <c r="N13" s="4">
        <v>53</v>
      </c>
      <c r="O13" s="7">
        <v>35346377</v>
      </c>
      <c r="P13" s="8">
        <v>6547155896.1499996</v>
      </c>
      <c r="Q13" s="7">
        <v>171016</v>
      </c>
    </row>
    <row r="14" spans="1:17" x14ac:dyDescent="0.25">
      <c r="A14" s="9">
        <v>45401</v>
      </c>
      <c r="B14" s="10" t="str">
        <f t="shared" si="0"/>
        <v>Apr</v>
      </c>
      <c r="C14" s="9" t="str">
        <f>TEXT(Table1[[#This Row],[Date ]],"dddd")</f>
        <v>Friday</v>
      </c>
      <c r="D14" s="9" t="str">
        <f>TEXT(Table1[[#This Row],[Date ]],"yyyy")</f>
        <v>2024</v>
      </c>
      <c r="E14" s="3" t="s">
        <v>14</v>
      </c>
      <c r="F14" s="3">
        <v>182.3</v>
      </c>
      <c r="G14" s="3">
        <v>191</v>
      </c>
      <c r="H14" s="3">
        <v>181.4</v>
      </c>
      <c r="I14" s="3">
        <v>185.2</v>
      </c>
      <c r="J14" s="3">
        <v>188.5</v>
      </c>
      <c r="K14" s="3">
        <v>189.2</v>
      </c>
      <c r="L14" s="3">
        <v>186.59</v>
      </c>
      <c r="M14" s="3">
        <v>199.7</v>
      </c>
      <c r="N14" s="3">
        <v>53</v>
      </c>
      <c r="O14" s="5">
        <v>34112204</v>
      </c>
      <c r="P14" s="6">
        <v>6364834828.0500002</v>
      </c>
      <c r="Q14" s="5">
        <v>176471</v>
      </c>
    </row>
    <row r="15" spans="1:17" x14ac:dyDescent="0.25">
      <c r="A15" s="10">
        <v>45404</v>
      </c>
      <c r="B15" s="10" t="str">
        <f t="shared" si="0"/>
        <v>Apr</v>
      </c>
      <c r="C15" s="10" t="str">
        <f>TEXT(Table1[[#This Row],[Date ]],"dddd")</f>
        <v>Monday</v>
      </c>
      <c r="D15" s="10" t="str">
        <f>TEXT(Table1[[#This Row],[Date ]],"yyyy")</f>
        <v>2024</v>
      </c>
      <c r="E15" s="4" t="s">
        <v>14</v>
      </c>
      <c r="F15" s="4">
        <v>193</v>
      </c>
      <c r="G15" s="4">
        <v>197.7</v>
      </c>
      <c r="H15" s="4">
        <v>190.8</v>
      </c>
      <c r="I15" s="4">
        <v>189.2</v>
      </c>
      <c r="J15" s="4">
        <v>193.4</v>
      </c>
      <c r="K15" s="4">
        <v>193.35</v>
      </c>
      <c r="L15" s="4">
        <v>193.72</v>
      </c>
      <c r="M15" s="4">
        <v>199.7</v>
      </c>
      <c r="N15" s="4">
        <v>54.7</v>
      </c>
      <c r="O15" s="7">
        <v>28792292</v>
      </c>
      <c r="P15" s="8">
        <v>5577646877.25</v>
      </c>
      <c r="Q15" s="7">
        <v>147830</v>
      </c>
    </row>
    <row r="16" spans="1:17" x14ac:dyDescent="0.25">
      <c r="A16" s="9">
        <v>45405</v>
      </c>
      <c r="B16" s="10" t="str">
        <f t="shared" si="0"/>
        <v>Apr</v>
      </c>
      <c r="C16" s="9" t="str">
        <f>TEXT(Table1[[#This Row],[Date ]],"dddd")</f>
        <v>Tuesday</v>
      </c>
      <c r="D16" s="9" t="str">
        <f>TEXT(Table1[[#This Row],[Date ]],"yyyy")</f>
        <v>2024</v>
      </c>
      <c r="E16" s="3" t="s">
        <v>14</v>
      </c>
      <c r="F16" s="3">
        <v>194.4</v>
      </c>
      <c r="G16" s="3">
        <v>194.5</v>
      </c>
      <c r="H16" s="3">
        <v>186.6</v>
      </c>
      <c r="I16" s="3">
        <v>193.35</v>
      </c>
      <c r="J16" s="3">
        <v>187.8</v>
      </c>
      <c r="K16" s="3">
        <v>187.45</v>
      </c>
      <c r="L16" s="3">
        <v>189.34</v>
      </c>
      <c r="M16" s="3">
        <v>199.7</v>
      </c>
      <c r="N16" s="3">
        <v>54.7</v>
      </c>
      <c r="O16" s="5">
        <v>35740731</v>
      </c>
      <c r="P16" s="6">
        <v>6767270366</v>
      </c>
      <c r="Q16" s="5">
        <v>187833</v>
      </c>
    </row>
    <row r="17" spans="1:17" x14ac:dyDescent="0.25">
      <c r="A17" s="10">
        <v>45406</v>
      </c>
      <c r="B17" s="10" t="str">
        <f t="shared" si="0"/>
        <v>Apr</v>
      </c>
      <c r="C17" s="10" t="str">
        <f>TEXT(Table1[[#This Row],[Date ]],"dddd")</f>
        <v>Wednesday</v>
      </c>
      <c r="D17" s="10" t="str">
        <f>TEXT(Table1[[#This Row],[Date ]],"yyyy")</f>
        <v>2024</v>
      </c>
      <c r="E17" s="4" t="s">
        <v>14</v>
      </c>
      <c r="F17" s="4">
        <v>189</v>
      </c>
      <c r="G17" s="4">
        <v>189.1</v>
      </c>
      <c r="H17" s="4">
        <v>183.15</v>
      </c>
      <c r="I17" s="4">
        <v>187.45</v>
      </c>
      <c r="J17" s="4">
        <v>184.45</v>
      </c>
      <c r="K17" s="4">
        <v>184.4</v>
      </c>
      <c r="L17" s="4">
        <v>185.29</v>
      </c>
      <c r="M17" s="4">
        <v>199.7</v>
      </c>
      <c r="N17" s="4">
        <v>54.7</v>
      </c>
      <c r="O17" s="7">
        <v>32622315</v>
      </c>
      <c r="P17" s="8">
        <v>6044540663.5500002</v>
      </c>
      <c r="Q17" s="7">
        <v>190477</v>
      </c>
    </row>
    <row r="18" spans="1:17" x14ac:dyDescent="0.25">
      <c r="A18" s="9">
        <v>45407</v>
      </c>
      <c r="B18" s="10" t="str">
        <f t="shared" si="0"/>
        <v>Apr</v>
      </c>
      <c r="C18" s="9" t="str">
        <f>TEXT(Table1[[#This Row],[Date ]],"dddd")</f>
        <v>Thursday</v>
      </c>
      <c r="D18" s="9" t="str">
        <f>TEXT(Table1[[#This Row],[Date ]],"yyyy")</f>
        <v>2024</v>
      </c>
      <c r="E18" s="3" t="s">
        <v>14</v>
      </c>
      <c r="F18" s="3">
        <v>184</v>
      </c>
      <c r="G18" s="3">
        <v>188.9</v>
      </c>
      <c r="H18" s="3">
        <v>182.5</v>
      </c>
      <c r="I18" s="3">
        <v>184.4</v>
      </c>
      <c r="J18" s="3">
        <v>184.65</v>
      </c>
      <c r="K18" s="3">
        <v>184.7</v>
      </c>
      <c r="L18" s="3">
        <v>185.17</v>
      </c>
      <c r="M18" s="3">
        <v>199.7</v>
      </c>
      <c r="N18" s="3">
        <v>54.7</v>
      </c>
      <c r="O18" s="5">
        <v>38839521</v>
      </c>
      <c r="P18" s="6">
        <v>7191725942.5500002</v>
      </c>
      <c r="Q18" s="5">
        <v>164901</v>
      </c>
    </row>
    <row r="19" spans="1:17" x14ac:dyDescent="0.25">
      <c r="A19" s="10">
        <v>45408</v>
      </c>
      <c r="B19" s="10" t="str">
        <f t="shared" si="0"/>
        <v>Apr</v>
      </c>
      <c r="C19" s="10" t="str">
        <f>TEXT(Table1[[#This Row],[Date ]],"dddd")</f>
        <v>Friday</v>
      </c>
      <c r="D19" s="10" t="str">
        <f>TEXT(Table1[[#This Row],[Date ]],"yyyy")</f>
        <v>2024</v>
      </c>
      <c r="E19" s="4" t="s">
        <v>14</v>
      </c>
      <c r="F19" s="4">
        <v>189</v>
      </c>
      <c r="G19" s="4">
        <v>190.45</v>
      </c>
      <c r="H19" s="4">
        <v>186.35</v>
      </c>
      <c r="I19" s="4">
        <v>184.7</v>
      </c>
      <c r="J19" s="4">
        <v>188.5</v>
      </c>
      <c r="K19" s="4">
        <v>188.1</v>
      </c>
      <c r="L19" s="4">
        <v>188.22</v>
      </c>
      <c r="M19" s="4">
        <v>199.7</v>
      </c>
      <c r="N19" s="4">
        <v>54.7</v>
      </c>
      <c r="O19" s="7">
        <v>33778145</v>
      </c>
      <c r="P19" s="8">
        <v>6357726398.8500004</v>
      </c>
      <c r="Q19" s="7">
        <v>171374</v>
      </c>
    </row>
    <row r="20" spans="1:17" x14ac:dyDescent="0.25">
      <c r="A20" s="9">
        <v>45411</v>
      </c>
      <c r="B20" s="10" t="str">
        <f t="shared" si="0"/>
        <v>Apr</v>
      </c>
      <c r="C20" s="9" t="str">
        <f>TEXT(Table1[[#This Row],[Date ]],"dddd")</f>
        <v>Monday</v>
      </c>
      <c r="D20" s="9" t="str">
        <f>TEXT(Table1[[#This Row],[Date ]],"yyyy")</f>
        <v>2024</v>
      </c>
      <c r="E20" s="3" t="s">
        <v>14</v>
      </c>
      <c r="F20" s="3">
        <v>189.4</v>
      </c>
      <c r="G20" s="3">
        <v>194.3</v>
      </c>
      <c r="H20" s="3">
        <v>186.45</v>
      </c>
      <c r="I20" s="3">
        <v>188.1</v>
      </c>
      <c r="J20" s="3">
        <v>194</v>
      </c>
      <c r="K20" s="3">
        <v>193.6</v>
      </c>
      <c r="L20" s="3">
        <v>191.51</v>
      </c>
      <c r="M20" s="3">
        <v>199.7</v>
      </c>
      <c r="N20" s="3">
        <v>60.3</v>
      </c>
      <c r="O20" s="5">
        <v>33415230</v>
      </c>
      <c r="P20" s="6">
        <v>6399331434.1499996</v>
      </c>
      <c r="Q20" s="5">
        <v>164320</v>
      </c>
    </row>
    <row r="21" spans="1:17" x14ac:dyDescent="0.25">
      <c r="A21" s="10">
        <v>45412</v>
      </c>
      <c r="B21" s="10" t="str">
        <f t="shared" si="0"/>
        <v>Apr</v>
      </c>
      <c r="C21" s="10" t="str">
        <f>TEXT(Table1[[#This Row],[Date ]],"dddd")</f>
        <v>Tuesday</v>
      </c>
      <c r="D21" s="10" t="str">
        <f>TEXT(Table1[[#This Row],[Date ]],"yyyy")</f>
        <v>2024</v>
      </c>
      <c r="E21" s="4" t="s">
        <v>14</v>
      </c>
      <c r="F21" s="4">
        <v>195</v>
      </c>
      <c r="G21" s="4">
        <v>196.95</v>
      </c>
      <c r="H21" s="4">
        <v>192.2</v>
      </c>
      <c r="I21" s="4">
        <v>193.6</v>
      </c>
      <c r="J21" s="4">
        <v>193.55</v>
      </c>
      <c r="K21" s="4">
        <v>193.15</v>
      </c>
      <c r="L21" s="4">
        <v>194.83</v>
      </c>
      <c r="M21" s="4">
        <v>199.7</v>
      </c>
      <c r="N21" s="4">
        <v>60.3</v>
      </c>
      <c r="O21" s="7">
        <v>39383265</v>
      </c>
      <c r="P21" s="8">
        <v>7673003556.1000004</v>
      </c>
      <c r="Q21" s="7">
        <v>147470</v>
      </c>
    </row>
    <row r="22" spans="1:17" x14ac:dyDescent="0.25">
      <c r="A22" s="9">
        <v>45414</v>
      </c>
      <c r="B22" s="10" t="str">
        <f t="shared" si="0"/>
        <v>May</v>
      </c>
      <c r="C22" s="9" t="str">
        <f>TEXT(Table1[[#This Row],[Date ]],"dddd")</f>
        <v>Thursday</v>
      </c>
      <c r="D22" s="9" t="str">
        <f>TEXT(Table1[[#This Row],[Date ]],"yyyy")</f>
        <v>2024</v>
      </c>
      <c r="E22" s="3" t="s">
        <v>14</v>
      </c>
      <c r="F22" s="3">
        <v>193.6</v>
      </c>
      <c r="G22" s="3">
        <v>195.95</v>
      </c>
      <c r="H22" s="3">
        <v>192.75</v>
      </c>
      <c r="I22" s="3">
        <v>193.15</v>
      </c>
      <c r="J22" s="3">
        <v>195.4</v>
      </c>
      <c r="K22" s="3">
        <v>195.45</v>
      </c>
      <c r="L22" s="3">
        <v>194.89</v>
      </c>
      <c r="M22" s="3">
        <v>199.7</v>
      </c>
      <c r="N22" s="3">
        <v>60.3</v>
      </c>
      <c r="O22" s="5">
        <v>27391448</v>
      </c>
      <c r="P22" s="6">
        <v>5338186584.8000002</v>
      </c>
      <c r="Q22" s="5">
        <v>136658</v>
      </c>
    </row>
    <row r="23" spans="1:17" x14ac:dyDescent="0.25">
      <c r="A23" s="10">
        <v>45415</v>
      </c>
      <c r="B23" s="10" t="str">
        <f t="shared" si="0"/>
        <v>May</v>
      </c>
      <c r="C23" s="10" t="str">
        <f>TEXT(Table1[[#This Row],[Date ]],"dddd")</f>
        <v>Friday</v>
      </c>
      <c r="D23" s="10" t="str">
        <f>TEXT(Table1[[#This Row],[Date ]],"yyyy")</f>
        <v>2024</v>
      </c>
      <c r="E23" s="4" t="s">
        <v>14</v>
      </c>
      <c r="F23" s="4">
        <v>196.8</v>
      </c>
      <c r="G23" s="4">
        <v>200.35</v>
      </c>
      <c r="H23" s="4">
        <v>193.1</v>
      </c>
      <c r="I23" s="4">
        <v>195.45</v>
      </c>
      <c r="J23" s="4">
        <v>197.15</v>
      </c>
      <c r="K23" s="4">
        <v>197.25</v>
      </c>
      <c r="L23" s="4">
        <v>197.07</v>
      </c>
      <c r="M23" s="4">
        <v>200.35</v>
      </c>
      <c r="N23" s="4">
        <v>60.3</v>
      </c>
      <c r="O23" s="7">
        <v>37882274</v>
      </c>
      <c r="P23" s="8">
        <v>7465542627.75</v>
      </c>
      <c r="Q23" s="7">
        <v>165211</v>
      </c>
    </row>
    <row r="24" spans="1:17" x14ac:dyDescent="0.25">
      <c r="A24" s="9">
        <v>45418</v>
      </c>
      <c r="B24" s="10" t="str">
        <f t="shared" si="0"/>
        <v>May</v>
      </c>
      <c r="C24" s="9" t="str">
        <f>TEXT(Table1[[#This Row],[Date ]],"dddd")</f>
        <v>Monday</v>
      </c>
      <c r="D24" s="9" t="str">
        <f>TEXT(Table1[[#This Row],[Date ]],"yyyy")</f>
        <v>2024</v>
      </c>
      <c r="E24" s="3" t="s">
        <v>14</v>
      </c>
      <c r="F24" s="3">
        <v>199</v>
      </c>
      <c r="G24" s="3">
        <v>202</v>
      </c>
      <c r="H24" s="3">
        <v>194.5</v>
      </c>
      <c r="I24" s="3">
        <v>197.25</v>
      </c>
      <c r="J24" s="3">
        <v>196.15</v>
      </c>
      <c r="K24" s="3">
        <v>195.7</v>
      </c>
      <c r="L24" s="3">
        <v>197.57</v>
      </c>
      <c r="M24" s="3">
        <v>202</v>
      </c>
      <c r="N24" s="3">
        <v>60.3</v>
      </c>
      <c r="O24" s="5">
        <v>26394239</v>
      </c>
      <c r="P24" s="6">
        <v>5214686978.25</v>
      </c>
      <c r="Q24" s="5">
        <v>165762</v>
      </c>
    </row>
    <row r="25" spans="1:17" x14ac:dyDescent="0.25">
      <c r="A25" s="10">
        <v>45419</v>
      </c>
      <c r="B25" s="10" t="str">
        <f t="shared" si="0"/>
        <v>May</v>
      </c>
      <c r="C25" s="10" t="str">
        <f>TEXT(Table1[[#This Row],[Date ]],"dddd")</f>
        <v>Tuesday</v>
      </c>
      <c r="D25" s="10" t="str">
        <f>TEXT(Table1[[#This Row],[Date ]],"yyyy")</f>
        <v>2024</v>
      </c>
      <c r="E25" s="4" t="s">
        <v>14</v>
      </c>
      <c r="F25" s="4">
        <v>196.15</v>
      </c>
      <c r="G25" s="4">
        <v>196.35</v>
      </c>
      <c r="H25" s="4">
        <v>182.35</v>
      </c>
      <c r="I25" s="4">
        <v>195.7</v>
      </c>
      <c r="J25" s="4">
        <v>192</v>
      </c>
      <c r="K25" s="4">
        <v>191.45</v>
      </c>
      <c r="L25" s="4">
        <v>189.32</v>
      </c>
      <c r="M25" s="4">
        <v>202</v>
      </c>
      <c r="N25" s="4">
        <v>60.3</v>
      </c>
      <c r="O25" s="7">
        <v>48161265</v>
      </c>
      <c r="P25" s="8">
        <v>9118013967.8999996</v>
      </c>
      <c r="Q25" s="7">
        <v>215403</v>
      </c>
    </row>
    <row r="26" spans="1:17" x14ac:dyDescent="0.25">
      <c r="A26" s="9">
        <v>45420</v>
      </c>
      <c r="B26" s="10" t="str">
        <f t="shared" si="0"/>
        <v>May</v>
      </c>
      <c r="C26" s="9" t="str">
        <f>TEXT(Table1[[#This Row],[Date ]],"dddd")</f>
        <v>Wednesday</v>
      </c>
      <c r="D26" s="9" t="str">
        <f>TEXT(Table1[[#This Row],[Date ]],"yyyy")</f>
        <v>2024</v>
      </c>
      <c r="E26" s="3" t="s">
        <v>14</v>
      </c>
      <c r="F26" s="3">
        <v>190.65</v>
      </c>
      <c r="G26" s="3">
        <v>196</v>
      </c>
      <c r="H26" s="3">
        <v>187.3</v>
      </c>
      <c r="I26" s="3">
        <v>191.45</v>
      </c>
      <c r="J26" s="3">
        <v>195.5</v>
      </c>
      <c r="K26" s="3">
        <v>195.45</v>
      </c>
      <c r="L26" s="3">
        <v>192.67</v>
      </c>
      <c r="M26" s="3">
        <v>202</v>
      </c>
      <c r="N26" s="3">
        <v>60.3</v>
      </c>
      <c r="O26" s="5">
        <v>47941406</v>
      </c>
      <c r="P26" s="6">
        <v>9236715782.25</v>
      </c>
      <c r="Q26" s="5">
        <v>178667</v>
      </c>
    </row>
    <row r="27" spans="1:17" x14ac:dyDescent="0.25">
      <c r="A27" s="10">
        <v>45421</v>
      </c>
      <c r="B27" s="10" t="str">
        <f t="shared" si="0"/>
        <v>May</v>
      </c>
      <c r="C27" s="10" t="str">
        <f>TEXT(Table1[[#This Row],[Date ]],"dddd")</f>
        <v>Thursday</v>
      </c>
      <c r="D27" s="10" t="str">
        <f>TEXT(Table1[[#This Row],[Date ]],"yyyy")</f>
        <v>2024</v>
      </c>
      <c r="E27" s="4" t="s">
        <v>14</v>
      </c>
      <c r="F27" s="4">
        <v>195</v>
      </c>
      <c r="G27" s="4">
        <v>199.7</v>
      </c>
      <c r="H27" s="4">
        <v>193.1</v>
      </c>
      <c r="I27" s="4">
        <v>195.45</v>
      </c>
      <c r="J27" s="4">
        <v>195.75</v>
      </c>
      <c r="K27" s="4">
        <v>195.25</v>
      </c>
      <c r="L27" s="4">
        <v>196.45</v>
      </c>
      <c r="M27" s="4">
        <v>202</v>
      </c>
      <c r="N27" s="4">
        <v>60.3</v>
      </c>
      <c r="O27" s="7">
        <v>47274769</v>
      </c>
      <c r="P27" s="8">
        <v>9286979382.0499992</v>
      </c>
      <c r="Q27" s="7">
        <v>194195</v>
      </c>
    </row>
    <row r="28" spans="1:17" x14ac:dyDescent="0.25">
      <c r="A28" s="9">
        <v>45422</v>
      </c>
      <c r="B28" s="10" t="str">
        <f t="shared" si="0"/>
        <v>May</v>
      </c>
      <c r="C28" s="9" t="str">
        <f>TEXT(Table1[[#This Row],[Date ]],"dddd")</f>
        <v>Friday</v>
      </c>
      <c r="D28" s="9" t="str">
        <f>TEXT(Table1[[#This Row],[Date ]],"yyyy")</f>
        <v>2024</v>
      </c>
      <c r="E28" s="3" t="s">
        <v>14</v>
      </c>
      <c r="F28" s="3">
        <v>196.35</v>
      </c>
      <c r="G28" s="3">
        <v>205</v>
      </c>
      <c r="H28" s="3">
        <v>189.9</v>
      </c>
      <c r="I28" s="3">
        <v>195.25</v>
      </c>
      <c r="J28" s="3">
        <v>203.8</v>
      </c>
      <c r="K28" s="3">
        <v>201.3</v>
      </c>
      <c r="L28" s="3">
        <v>197.86</v>
      </c>
      <c r="M28" s="3">
        <v>205</v>
      </c>
      <c r="N28" s="3">
        <v>60.3</v>
      </c>
      <c r="O28" s="5">
        <v>52717901</v>
      </c>
      <c r="P28" s="6">
        <v>10431021674.85</v>
      </c>
      <c r="Q28" s="5">
        <v>248725</v>
      </c>
    </row>
    <row r="29" spans="1:17" x14ac:dyDescent="0.25">
      <c r="A29" s="10">
        <v>45425</v>
      </c>
      <c r="B29" s="10" t="str">
        <f t="shared" si="0"/>
        <v>May</v>
      </c>
      <c r="C29" s="10" t="str">
        <f>TEXT(Table1[[#This Row],[Date ]],"dddd")</f>
        <v>Monday</v>
      </c>
      <c r="D29" s="10" t="str">
        <f>TEXT(Table1[[#This Row],[Date ]],"yyyy")</f>
        <v>2024</v>
      </c>
      <c r="E29" s="4" t="s">
        <v>14</v>
      </c>
      <c r="F29" s="4">
        <v>205.8</v>
      </c>
      <c r="G29" s="4">
        <v>207.2</v>
      </c>
      <c r="H29" s="4">
        <v>186.75</v>
      </c>
      <c r="I29" s="4">
        <v>201.3</v>
      </c>
      <c r="J29" s="4">
        <v>196.65</v>
      </c>
      <c r="K29" s="4">
        <v>194.3</v>
      </c>
      <c r="L29" s="4">
        <v>196.83</v>
      </c>
      <c r="M29" s="4">
        <v>207.2</v>
      </c>
      <c r="N29" s="4">
        <v>61.8</v>
      </c>
      <c r="O29" s="7">
        <v>114135952</v>
      </c>
      <c r="P29" s="8">
        <v>22465325302</v>
      </c>
      <c r="Q29" s="7">
        <v>397413</v>
      </c>
    </row>
    <row r="30" spans="1:17" x14ac:dyDescent="0.25">
      <c r="A30" s="9">
        <v>45426</v>
      </c>
      <c r="B30" s="10" t="str">
        <f t="shared" si="0"/>
        <v>May</v>
      </c>
      <c r="C30" s="9" t="str">
        <f>TEXT(Table1[[#This Row],[Date ]],"dddd")</f>
        <v>Tuesday</v>
      </c>
      <c r="D30" s="9" t="str">
        <f>TEXT(Table1[[#This Row],[Date ]],"yyyy")</f>
        <v>2024</v>
      </c>
      <c r="E30" s="3" t="s">
        <v>14</v>
      </c>
      <c r="F30" s="3">
        <v>191.7</v>
      </c>
      <c r="G30" s="3">
        <v>193.45</v>
      </c>
      <c r="H30" s="3">
        <v>182.1</v>
      </c>
      <c r="I30" s="3">
        <v>194.3</v>
      </c>
      <c r="J30" s="3">
        <v>187.6</v>
      </c>
      <c r="K30" s="3">
        <v>187.3</v>
      </c>
      <c r="L30" s="3">
        <v>187.94</v>
      </c>
      <c r="M30" s="3">
        <v>207.2</v>
      </c>
      <c r="N30" s="3">
        <v>61.8</v>
      </c>
      <c r="O30" s="5">
        <v>110070781</v>
      </c>
      <c r="P30" s="6">
        <v>20686350424</v>
      </c>
      <c r="Q30" s="5">
        <v>626939</v>
      </c>
    </row>
    <row r="31" spans="1:17" x14ac:dyDescent="0.25">
      <c r="A31" s="10">
        <v>45427</v>
      </c>
      <c r="B31" s="10" t="str">
        <f t="shared" si="0"/>
        <v>May</v>
      </c>
      <c r="C31" s="10" t="str">
        <f>TEXT(Table1[[#This Row],[Date ]],"dddd")</f>
        <v>Wednesday</v>
      </c>
      <c r="D31" s="10" t="str">
        <f>TEXT(Table1[[#This Row],[Date ]],"yyyy")</f>
        <v>2024</v>
      </c>
      <c r="E31" s="4" t="s">
        <v>14</v>
      </c>
      <c r="F31" s="4">
        <v>188.8</v>
      </c>
      <c r="G31" s="4">
        <v>193.4</v>
      </c>
      <c r="H31" s="4">
        <v>183.15</v>
      </c>
      <c r="I31" s="4">
        <v>187.3</v>
      </c>
      <c r="J31" s="4">
        <v>191.3</v>
      </c>
      <c r="K31" s="4">
        <v>192</v>
      </c>
      <c r="L31" s="4">
        <v>189.94</v>
      </c>
      <c r="M31" s="4">
        <v>207.2</v>
      </c>
      <c r="N31" s="4">
        <v>61.8</v>
      </c>
      <c r="O31" s="7">
        <v>44772997</v>
      </c>
      <c r="P31" s="8">
        <v>8504055895.25</v>
      </c>
      <c r="Q31" s="7">
        <v>310554</v>
      </c>
    </row>
    <row r="32" spans="1:17" x14ac:dyDescent="0.25">
      <c r="A32" s="9">
        <v>45428</v>
      </c>
      <c r="B32" s="10" t="str">
        <f t="shared" si="0"/>
        <v>May</v>
      </c>
      <c r="C32" s="9" t="str">
        <f>TEXT(Table1[[#This Row],[Date ]],"dddd")</f>
        <v>Thursday</v>
      </c>
      <c r="D32" s="9" t="str">
        <f>TEXT(Table1[[#This Row],[Date ]],"yyyy")</f>
        <v>2024</v>
      </c>
      <c r="E32" s="3" t="s">
        <v>14</v>
      </c>
      <c r="F32" s="3">
        <v>192.9</v>
      </c>
      <c r="G32" s="3">
        <v>195.85</v>
      </c>
      <c r="H32" s="3">
        <v>189</v>
      </c>
      <c r="I32" s="3">
        <v>192</v>
      </c>
      <c r="J32" s="3">
        <v>194.4</v>
      </c>
      <c r="K32" s="3">
        <v>195.2</v>
      </c>
      <c r="L32" s="3">
        <v>193.89</v>
      </c>
      <c r="M32" s="3">
        <v>207.2</v>
      </c>
      <c r="N32" s="3">
        <v>61.8</v>
      </c>
      <c r="O32" s="5">
        <v>35478593</v>
      </c>
      <c r="P32" s="6">
        <v>6878946191.8000002</v>
      </c>
      <c r="Q32" s="5">
        <v>209064</v>
      </c>
    </row>
    <row r="33" spans="1:17" x14ac:dyDescent="0.25">
      <c r="A33" s="10">
        <v>45429</v>
      </c>
      <c r="B33" s="10" t="str">
        <f t="shared" si="0"/>
        <v>May</v>
      </c>
      <c r="C33" s="10" t="str">
        <f>TEXT(Table1[[#This Row],[Date ]],"dddd")</f>
        <v>Friday</v>
      </c>
      <c r="D33" s="10" t="str">
        <f>TEXT(Table1[[#This Row],[Date ]],"yyyy")</f>
        <v>2024</v>
      </c>
      <c r="E33" s="4" t="s">
        <v>14</v>
      </c>
      <c r="F33" s="4">
        <v>195.15</v>
      </c>
      <c r="G33" s="4">
        <v>196</v>
      </c>
      <c r="H33" s="4">
        <v>193.1</v>
      </c>
      <c r="I33" s="4">
        <v>195.2</v>
      </c>
      <c r="J33" s="4">
        <v>194.9</v>
      </c>
      <c r="K33" s="4">
        <v>194.85</v>
      </c>
      <c r="L33" s="4">
        <v>194.57</v>
      </c>
      <c r="M33" s="4">
        <v>207.2</v>
      </c>
      <c r="N33" s="4">
        <v>61.8</v>
      </c>
      <c r="O33" s="7">
        <v>20841351</v>
      </c>
      <c r="P33" s="8">
        <v>4055055008.4499998</v>
      </c>
      <c r="Q33" s="7">
        <v>136475</v>
      </c>
    </row>
    <row r="34" spans="1:17" x14ac:dyDescent="0.25">
      <c r="A34" s="9">
        <v>45430</v>
      </c>
      <c r="B34" s="10" t="str">
        <f t="shared" si="0"/>
        <v>May</v>
      </c>
      <c r="C34" s="9" t="str">
        <f>TEXT(Table1[[#This Row],[Date ]],"dddd")</f>
        <v>Saturday</v>
      </c>
      <c r="D34" s="9" t="str">
        <f>TEXT(Table1[[#This Row],[Date ]],"yyyy")</f>
        <v>2024</v>
      </c>
      <c r="E34" s="3" t="s">
        <v>14</v>
      </c>
      <c r="F34" s="3">
        <v>194.75</v>
      </c>
      <c r="G34" s="3">
        <v>195.7</v>
      </c>
      <c r="H34" s="3">
        <v>194.1</v>
      </c>
      <c r="I34" s="3">
        <v>194.85</v>
      </c>
      <c r="J34" s="3">
        <v>194.5</v>
      </c>
      <c r="K34" s="3">
        <v>194.4</v>
      </c>
      <c r="L34" s="3">
        <v>194.76</v>
      </c>
      <c r="M34" s="3">
        <v>207.2</v>
      </c>
      <c r="N34" s="3">
        <v>61.8</v>
      </c>
      <c r="O34" s="5">
        <v>2548204</v>
      </c>
      <c r="P34" s="6">
        <v>496292477.30000001</v>
      </c>
      <c r="Q34" s="5">
        <v>20507</v>
      </c>
    </row>
    <row r="35" spans="1:17" x14ac:dyDescent="0.25">
      <c r="A35" s="10">
        <v>45433</v>
      </c>
      <c r="B35" s="10" t="str">
        <f t="shared" si="0"/>
        <v>May</v>
      </c>
      <c r="C35" s="10" t="str">
        <f>TEXT(Table1[[#This Row],[Date ]],"dddd")</f>
        <v>Tuesday</v>
      </c>
      <c r="D35" s="10" t="str">
        <f>TEXT(Table1[[#This Row],[Date ]],"yyyy")</f>
        <v>2024</v>
      </c>
      <c r="E35" s="4" t="s">
        <v>14</v>
      </c>
      <c r="F35" s="4">
        <v>194.4</v>
      </c>
      <c r="G35" s="4">
        <v>196.5</v>
      </c>
      <c r="H35" s="4">
        <v>188.75</v>
      </c>
      <c r="I35" s="4">
        <v>194.4</v>
      </c>
      <c r="J35" s="4">
        <v>189.1</v>
      </c>
      <c r="K35" s="4">
        <v>189.1</v>
      </c>
      <c r="L35" s="4">
        <v>191.18</v>
      </c>
      <c r="M35" s="4">
        <v>207.2</v>
      </c>
      <c r="N35" s="4">
        <v>61.8</v>
      </c>
      <c r="O35" s="7">
        <v>33453174</v>
      </c>
      <c r="P35" s="8">
        <v>6395499560.75</v>
      </c>
      <c r="Q35" s="7">
        <v>515943</v>
      </c>
    </row>
    <row r="36" spans="1:17" x14ac:dyDescent="0.25">
      <c r="A36" s="9">
        <v>45434</v>
      </c>
      <c r="B36" s="10" t="str">
        <f t="shared" si="0"/>
        <v>May</v>
      </c>
      <c r="C36" s="9" t="str">
        <f>TEXT(Table1[[#This Row],[Date ]],"dddd")</f>
        <v>Wednesday</v>
      </c>
      <c r="D36" s="9" t="str">
        <f>TEXT(Table1[[#This Row],[Date ]],"yyyy")</f>
        <v>2024</v>
      </c>
      <c r="E36" s="3" t="s">
        <v>14</v>
      </c>
      <c r="F36" s="3">
        <v>190</v>
      </c>
      <c r="G36" s="3">
        <v>190</v>
      </c>
      <c r="H36" s="3">
        <v>183.35</v>
      </c>
      <c r="I36" s="3">
        <v>189.1</v>
      </c>
      <c r="J36" s="3">
        <v>185.6</v>
      </c>
      <c r="K36" s="3">
        <v>185.5</v>
      </c>
      <c r="L36" s="3">
        <v>185.44</v>
      </c>
      <c r="M36" s="3">
        <v>207.2</v>
      </c>
      <c r="N36" s="3">
        <v>61.8</v>
      </c>
      <c r="O36" s="5">
        <v>40374419</v>
      </c>
      <c r="P36" s="6">
        <v>7487062421.4499998</v>
      </c>
      <c r="Q36" s="5">
        <v>331491</v>
      </c>
    </row>
    <row r="37" spans="1:17" x14ac:dyDescent="0.25">
      <c r="A37" s="10">
        <v>45435</v>
      </c>
      <c r="B37" s="10" t="str">
        <f t="shared" si="0"/>
        <v>May</v>
      </c>
      <c r="C37" s="10" t="str">
        <f>TEXT(Table1[[#This Row],[Date ]],"dddd")</f>
        <v>Thursday</v>
      </c>
      <c r="D37" s="10" t="str">
        <f>TEXT(Table1[[#This Row],[Date ]],"yyyy")</f>
        <v>2024</v>
      </c>
      <c r="E37" s="4" t="s">
        <v>14</v>
      </c>
      <c r="F37" s="4">
        <v>186.5</v>
      </c>
      <c r="G37" s="4">
        <v>189.4</v>
      </c>
      <c r="H37" s="4">
        <v>184.5</v>
      </c>
      <c r="I37" s="4">
        <v>185.5</v>
      </c>
      <c r="J37" s="4">
        <v>187.3</v>
      </c>
      <c r="K37" s="4">
        <v>186.8</v>
      </c>
      <c r="L37" s="4">
        <v>186.93</v>
      </c>
      <c r="M37" s="4">
        <v>207.2</v>
      </c>
      <c r="N37" s="4">
        <v>61.8</v>
      </c>
      <c r="O37" s="7">
        <v>20931137</v>
      </c>
      <c r="P37" s="8">
        <v>3912745280.5500002</v>
      </c>
      <c r="Q37" s="7">
        <v>247731</v>
      </c>
    </row>
    <row r="38" spans="1:17" x14ac:dyDescent="0.25">
      <c r="A38" s="9">
        <v>45436</v>
      </c>
      <c r="B38" s="10" t="str">
        <f t="shared" si="0"/>
        <v>May</v>
      </c>
      <c r="C38" s="9" t="str">
        <f>TEXT(Table1[[#This Row],[Date ]],"dddd")</f>
        <v>Friday</v>
      </c>
      <c r="D38" s="9" t="str">
        <f>TEXT(Table1[[#This Row],[Date ]],"yyyy")</f>
        <v>2024</v>
      </c>
      <c r="E38" s="3" t="s">
        <v>14</v>
      </c>
      <c r="F38" s="3">
        <v>188</v>
      </c>
      <c r="G38" s="3">
        <v>188</v>
      </c>
      <c r="H38" s="3">
        <v>179.1</v>
      </c>
      <c r="I38" s="3">
        <v>186.8</v>
      </c>
      <c r="J38" s="3">
        <v>182.5</v>
      </c>
      <c r="K38" s="3">
        <v>182.9</v>
      </c>
      <c r="L38" s="3">
        <v>183.94</v>
      </c>
      <c r="M38" s="3">
        <v>207.2</v>
      </c>
      <c r="N38" s="3">
        <v>61.8</v>
      </c>
      <c r="O38" s="5">
        <v>37064093</v>
      </c>
      <c r="P38" s="6">
        <v>6817487250.1000004</v>
      </c>
      <c r="Q38" s="5">
        <v>300765</v>
      </c>
    </row>
    <row r="39" spans="1:17" x14ac:dyDescent="0.25">
      <c r="A39" s="10">
        <v>45439</v>
      </c>
      <c r="B39" s="10" t="str">
        <f t="shared" si="0"/>
        <v>May</v>
      </c>
      <c r="C39" s="10" t="str">
        <f>TEXT(Table1[[#This Row],[Date ]],"dddd")</f>
        <v>Monday</v>
      </c>
      <c r="D39" s="10" t="str">
        <f>TEXT(Table1[[#This Row],[Date ]],"yyyy")</f>
        <v>2024</v>
      </c>
      <c r="E39" s="4" t="s">
        <v>14</v>
      </c>
      <c r="F39" s="4">
        <v>183.9</v>
      </c>
      <c r="G39" s="4">
        <v>185.45</v>
      </c>
      <c r="H39" s="4">
        <v>178.4</v>
      </c>
      <c r="I39" s="4">
        <v>182.9</v>
      </c>
      <c r="J39" s="4">
        <v>184.1</v>
      </c>
      <c r="K39" s="4">
        <v>183.65</v>
      </c>
      <c r="L39" s="4">
        <v>182.5</v>
      </c>
      <c r="M39" s="4">
        <v>207.2</v>
      </c>
      <c r="N39" s="4">
        <v>66.3</v>
      </c>
      <c r="O39" s="7">
        <v>47652253</v>
      </c>
      <c r="P39" s="8">
        <v>8696471573.6499996</v>
      </c>
      <c r="Q39" s="7">
        <v>357300</v>
      </c>
    </row>
    <row r="40" spans="1:17" x14ac:dyDescent="0.25">
      <c r="A40" s="9">
        <v>45440</v>
      </c>
      <c r="B40" s="10" t="str">
        <f t="shared" si="0"/>
        <v>May</v>
      </c>
      <c r="C40" s="9" t="str">
        <f>TEXT(Table1[[#This Row],[Date ]],"dddd")</f>
        <v>Tuesday</v>
      </c>
      <c r="D40" s="9" t="str">
        <f>TEXT(Table1[[#This Row],[Date ]],"yyyy")</f>
        <v>2024</v>
      </c>
      <c r="E40" s="3" t="s">
        <v>14</v>
      </c>
      <c r="F40" s="3">
        <v>184.35</v>
      </c>
      <c r="G40" s="3">
        <v>184.8</v>
      </c>
      <c r="H40" s="3">
        <v>180.4</v>
      </c>
      <c r="I40" s="3">
        <v>183.65</v>
      </c>
      <c r="J40" s="3">
        <v>180.9</v>
      </c>
      <c r="K40" s="3">
        <v>181.6</v>
      </c>
      <c r="L40" s="3">
        <v>182.23</v>
      </c>
      <c r="M40" s="3">
        <v>207.2</v>
      </c>
      <c r="N40" s="3">
        <v>66.3</v>
      </c>
      <c r="O40" s="5">
        <v>34444521</v>
      </c>
      <c r="P40" s="6">
        <v>6276713084.5500002</v>
      </c>
      <c r="Q40" s="5">
        <v>159815</v>
      </c>
    </row>
    <row r="41" spans="1:17" x14ac:dyDescent="0.25">
      <c r="A41" s="10">
        <v>45441</v>
      </c>
      <c r="B41" s="10" t="str">
        <f t="shared" si="0"/>
        <v>May</v>
      </c>
      <c r="C41" s="10" t="str">
        <f>TEXT(Table1[[#This Row],[Date ]],"dddd")</f>
        <v>Wednesday</v>
      </c>
      <c r="D41" s="10" t="str">
        <f>TEXT(Table1[[#This Row],[Date ]],"yyyy")</f>
        <v>2024</v>
      </c>
      <c r="E41" s="4" t="s">
        <v>14</v>
      </c>
      <c r="F41" s="4">
        <v>180.55</v>
      </c>
      <c r="G41" s="4">
        <v>185.4</v>
      </c>
      <c r="H41" s="4">
        <v>180</v>
      </c>
      <c r="I41" s="4">
        <v>181.6</v>
      </c>
      <c r="J41" s="4">
        <v>183.45</v>
      </c>
      <c r="K41" s="4">
        <v>183.35</v>
      </c>
      <c r="L41" s="4">
        <v>183.43</v>
      </c>
      <c r="M41" s="4">
        <v>207.2</v>
      </c>
      <c r="N41" s="4">
        <v>66.3</v>
      </c>
      <c r="O41" s="7">
        <v>30888209</v>
      </c>
      <c r="P41" s="8">
        <v>5665780517.8500004</v>
      </c>
      <c r="Q41" s="7">
        <v>248641</v>
      </c>
    </row>
    <row r="42" spans="1:17" x14ac:dyDescent="0.25">
      <c r="A42" s="9">
        <v>45442</v>
      </c>
      <c r="B42" s="10" t="str">
        <f t="shared" si="0"/>
        <v>May</v>
      </c>
      <c r="C42" s="9" t="str">
        <f>TEXT(Table1[[#This Row],[Date ]],"dddd")</f>
        <v>Thursday</v>
      </c>
      <c r="D42" s="9" t="str">
        <f>TEXT(Table1[[#This Row],[Date ]],"yyyy")</f>
        <v>2024</v>
      </c>
      <c r="E42" s="3" t="s">
        <v>14</v>
      </c>
      <c r="F42" s="3">
        <v>183</v>
      </c>
      <c r="G42" s="3">
        <v>185</v>
      </c>
      <c r="H42" s="3">
        <v>179</v>
      </c>
      <c r="I42" s="3">
        <v>183.35</v>
      </c>
      <c r="J42" s="3">
        <v>181</v>
      </c>
      <c r="K42" s="3">
        <v>180.6</v>
      </c>
      <c r="L42" s="3">
        <v>181.47</v>
      </c>
      <c r="M42" s="3">
        <v>207.2</v>
      </c>
      <c r="N42" s="3">
        <v>66.3</v>
      </c>
      <c r="O42" s="5">
        <v>33684173</v>
      </c>
      <c r="P42" s="6">
        <v>6112506971.1499996</v>
      </c>
      <c r="Q42" s="5">
        <v>189332</v>
      </c>
    </row>
    <row r="43" spans="1:17" x14ac:dyDescent="0.25">
      <c r="A43" s="10">
        <v>45443</v>
      </c>
      <c r="B43" s="10" t="str">
        <f t="shared" si="0"/>
        <v>May</v>
      </c>
      <c r="C43" s="10" t="str">
        <f>TEXT(Table1[[#This Row],[Date ]],"dddd")</f>
        <v>Friday</v>
      </c>
      <c r="D43" s="10" t="str">
        <f>TEXT(Table1[[#This Row],[Date ]],"yyyy")</f>
        <v>2024</v>
      </c>
      <c r="E43" s="4" t="s">
        <v>14</v>
      </c>
      <c r="F43" s="4">
        <v>178.8</v>
      </c>
      <c r="G43" s="4">
        <v>183.15</v>
      </c>
      <c r="H43" s="4">
        <v>171.25</v>
      </c>
      <c r="I43" s="4">
        <v>180.6</v>
      </c>
      <c r="J43" s="4">
        <v>179.5</v>
      </c>
      <c r="K43" s="4">
        <v>179.15</v>
      </c>
      <c r="L43" s="4">
        <v>177.49</v>
      </c>
      <c r="M43" s="4">
        <v>207.2</v>
      </c>
      <c r="N43" s="4">
        <v>66.3</v>
      </c>
      <c r="O43" s="7">
        <v>149283415</v>
      </c>
      <c r="P43" s="8">
        <v>26496167993.599998</v>
      </c>
      <c r="Q43" s="7">
        <v>456285</v>
      </c>
    </row>
    <row r="44" spans="1:17" x14ac:dyDescent="0.25">
      <c r="A44" s="9">
        <v>45446</v>
      </c>
      <c r="B44" s="10" t="str">
        <f t="shared" si="0"/>
        <v>Jun</v>
      </c>
      <c r="C44" s="9" t="str">
        <f>TEXT(Table1[[#This Row],[Date ]],"dddd")</f>
        <v>Monday</v>
      </c>
      <c r="D44" s="9" t="str">
        <f>TEXT(Table1[[#This Row],[Date ]],"yyyy")</f>
        <v>2024</v>
      </c>
      <c r="E44" s="3" t="s">
        <v>14</v>
      </c>
      <c r="F44" s="3">
        <v>184.5</v>
      </c>
      <c r="G44" s="3">
        <v>185.5</v>
      </c>
      <c r="H44" s="3">
        <v>175</v>
      </c>
      <c r="I44" s="3">
        <v>179.15</v>
      </c>
      <c r="J44" s="3">
        <v>175.45</v>
      </c>
      <c r="K44" s="3">
        <v>175.45</v>
      </c>
      <c r="L44" s="3">
        <v>176.94</v>
      </c>
      <c r="M44" s="3">
        <v>207.2</v>
      </c>
      <c r="N44" s="3">
        <v>69.599999999999994</v>
      </c>
      <c r="O44" s="5">
        <v>53437123</v>
      </c>
      <c r="P44" s="6">
        <v>9455211608.75</v>
      </c>
      <c r="Q44" s="5">
        <v>351780</v>
      </c>
    </row>
    <row r="45" spans="1:17" x14ac:dyDescent="0.25">
      <c r="A45" s="10">
        <v>45447</v>
      </c>
      <c r="B45" s="10" t="str">
        <f t="shared" si="0"/>
        <v>Jun</v>
      </c>
      <c r="C45" s="10" t="str">
        <f>TEXT(Table1[[#This Row],[Date ]],"dddd")</f>
        <v>Tuesday</v>
      </c>
      <c r="D45" s="10" t="str">
        <f>TEXT(Table1[[#This Row],[Date ]],"yyyy")</f>
        <v>2024</v>
      </c>
      <c r="E45" s="4" t="s">
        <v>14</v>
      </c>
      <c r="F45" s="4">
        <v>176.5</v>
      </c>
      <c r="G45" s="4">
        <v>176.5</v>
      </c>
      <c r="H45" s="4">
        <v>146.30000000000001</v>
      </c>
      <c r="I45" s="4">
        <v>175.45</v>
      </c>
      <c r="J45" s="4">
        <v>170.5</v>
      </c>
      <c r="K45" s="4">
        <v>172</v>
      </c>
      <c r="L45" s="4">
        <v>168.43</v>
      </c>
      <c r="M45" s="4">
        <v>207.2</v>
      </c>
      <c r="N45" s="4">
        <v>69.599999999999994</v>
      </c>
      <c r="O45" s="7">
        <v>75272859</v>
      </c>
      <c r="P45" s="8">
        <v>12678464179.75</v>
      </c>
      <c r="Q45" s="7">
        <v>572365</v>
      </c>
    </row>
    <row r="46" spans="1:17" x14ac:dyDescent="0.25">
      <c r="A46" s="9">
        <v>45448</v>
      </c>
      <c r="B46" s="10" t="str">
        <f t="shared" si="0"/>
        <v>Jun</v>
      </c>
      <c r="C46" s="9" t="str">
        <f>TEXT(Table1[[#This Row],[Date ]],"dddd")</f>
        <v>Wednesday</v>
      </c>
      <c r="D46" s="9" t="str">
        <f>TEXT(Table1[[#This Row],[Date ]],"yyyy")</f>
        <v>2024</v>
      </c>
      <c r="E46" s="3" t="s">
        <v>14</v>
      </c>
      <c r="F46" s="3">
        <v>175</v>
      </c>
      <c r="G46" s="3">
        <v>185.3</v>
      </c>
      <c r="H46" s="3">
        <v>166.75</v>
      </c>
      <c r="I46" s="3">
        <v>172</v>
      </c>
      <c r="J46" s="3">
        <v>183.9</v>
      </c>
      <c r="K46" s="3">
        <v>183.8</v>
      </c>
      <c r="L46" s="3">
        <v>180.66</v>
      </c>
      <c r="M46" s="3">
        <v>207.2</v>
      </c>
      <c r="N46" s="3">
        <v>69.599999999999994</v>
      </c>
      <c r="O46" s="5">
        <v>57213537</v>
      </c>
      <c r="P46" s="6">
        <v>10336192896.700001</v>
      </c>
      <c r="Q46" s="5">
        <v>315554</v>
      </c>
    </row>
    <row r="47" spans="1:17" x14ac:dyDescent="0.25">
      <c r="A47" s="10">
        <v>45449</v>
      </c>
      <c r="B47" s="10" t="str">
        <f t="shared" si="0"/>
        <v>Jun</v>
      </c>
      <c r="C47" s="10" t="str">
        <f>TEXT(Table1[[#This Row],[Date ]],"dddd")</f>
        <v>Thursday</v>
      </c>
      <c r="D47" s="10" t="str">
        <f>TEXT(Table1[[#This Row],[Date ]],"yyyy")</f>
        <v>2024</v>
      </c>
      <c r="E47" s="4" t="s">
        <v>14</v>
      </c>
      <c r="F47" s="4">
        <v>185</v>
      </c>
      <c r="G47" s="4">
        <v>185.8</v>
      </c>
      <c r="H47" s="4">
        <v>182.5</v>
      </c>
      <c r="I47" s="4">
        <v>183.8</v>
      </c>
      <c r="J47" s="4">
        <v>183.1</v>
      </c>
      <c r="K47" s="4">
        <v>183.65</v>
      </c>
      <c r="L47" s="4">
        <v>184.37</v>
      </c>
      <c r="M47" s="4">
        <v>207.2</v>
      </c>
      <c r="N47" s="4">
        <v>69.599999999999994</v>
      </c>
      <c r="O47" s="7">
        <v>20887553</v>
      </c>
      <c r="P47" s="8">
        <v>3851097193.0500002</v>
      </c>
      <c r="Q47" s="7">
        <v>141222</v>
      </c>
    </row>
    <row r="48" spans="1:17" x14ac:dyDescent="0.25">
      <c r="A48" s="9">
        <v>45450</v>
      </c>
      <c r="B48" s="10" t="str">
        <f t="shared" si="0"/>
        <v>Jun</v>
      </c>
      <c r="C48" s="9" t="str">
        <f>TEXT(Table1[[#This Row],[Date ]],"dddd")</f>
        <v>Friday</v>
      </c>
      <c r="D48" s="9" t="str">
        <f>TEXT(Table1[[#This Row],[Date ]],"yyyy")</f>
        <v>2024</v>
      </c>
      <c r="E48" s="3" t="s">
        <v>14</v>
      </c>
      <c r="F48" s="3">
        <v>182.5</v>
      </c>
      <c r="G48" s="3">
        <v>187</v>
      </c>
      <c r="H48" s="3">
        <v>180.7</v>
      </c>
      <c r="I48" s="3">
        <v>183.65</v>
      </c>
      <c r="J48" s="3">
        <v>183.1</v>
      </c>
      <c r="K48" s="3">
        <v>184</v>
      </c>
      <c r="L48" s="3">
        <v>184.91</v>
      </c>
      <c r="M48" s="3">
        <v>207.2</v>
      </c>
      <c r="N48" s="3">
        <v>69.599999999999994</v>
      </c>
      <c r="O48" s="5">
        <v>33175407</v>
      </c>
      <c r="P48" s="6">
        <v>6134368356.6999998</v>
      </c>
      <c r="Q48" s="5">
        <v>150111</v>
      </c>
    </row>
    <row r="49" spans="1:17" x14ac:dyDescent="0.25">
      <c r="A49" s="10">
        <v>45453</v>
      </c>
      <c r="B49" s="10" t="str">
        <f t="shared" si="0"/>
        <v>Jun</v>
      </c>
      <c r="C49" s="10" t="str">
        <f>TEXT(Table1[[#This Row],[Date ]],"dddd")</f>
        <v>Monday</v>
      </c>
      <c r="D49" s="10" t="str">
        <f>TEXT(Table1[[#This Row],[Date ]],"yyyy")</f>
        <v>2024</v>
      </c>
      <c r="E49" s="4" t="s">
        <v>14</v>
      </c>
      <c r="F49" s="4">
        <v>184</v>
      </c>
      <c r="G49" s="4">
        <v>186.5</v>
      </c>
      <c r="H49" s="4">
        <v>181.56</v>
      </c>
      <c r="I49" s="4">
        <v>184</v>
      </c>
      <c r="J49" s="4">
        <v>182</v>
      </c>
      <c r="K49" s="4">
        <v>182.16</v>
      </c>
      <c r="L49" s="4">
        <v>183.03</v>
      </c>
      <c r="M49" s="4">
        <v>207.2</v>
      </c>
      <c r="N49" s="4">
        <v>72.55</v>
      </c>
      <c r="O49" s="7">
        <v>33163473</v>
      </c>
      <c r="P49" s="8">
        <v>6070063924.6300001</v>
      </c>
      <c r="Q49" s="7">
        <v>192800</v>
      </c>
    </row>
    <row r="50" spans="1:17" x14ac:dyDescent="0.25">
      <c r="A50" s="9">
        <v>45454</v>
      </c>
      <c r="B50" s="10" t="str">
        <f t="shared" si="0"/>
        <v>Jun</v>
      </c>
      <c r="C50" s="9" t="str">
        <f>TEXT(Table1[[#This Row],[Date ]],"dddd")</f>
        <v>Tuesday</v>
      </c>
      <c r="D50" s="9" t="str">
        <f>TEXT(Table1[[#This Row],[Date ]],"yyyy")</f>
        <v>2024</v>
      </c>
      <c r="E50" s="3" t="s">
        <v>14</v>
      </c>
      <c r="F50" s="3">
        <v>182.6</v>
      </c>
      <c r="G50" s="3">
        <v>186</v>
      </c>
      <c r="H50" s="3">
        <v>180.1</v>
      </c>
      <c r="I50" s="3">
        <v>182.16</v>
      </c>
      <c r="J50" s="3">
        <v>183.9</v>
      </c>
      <c r="K50" s="3">
        <v>184.02</v>
      </c>
      <c r="L50" s="3">
        <v>183.36</v>
      </c>
      <c r="M50" s="3">
        <v>207.2</v>
      </c>
      <c r="N50" s="3">
        <v>72.55</v>
      </c>
      <c r="O50" s="5">
        <v>41803815</v>
      </c>
      <c r="P50" s="6">
        <v>7665083489.6899996</v>
      </c>
      <c r="Q50" s="5">
        <v>213388</v>
      </c>
    </row>
    <row r="51" spans="1:17" x14ac:dyDescent="0.25">
      <c r="A51" s="10">
        <v>45455</v>
      </c>
      <c r="B51" s="10" t="str">
        <f t="shared" si="0"/>
        <v>Jun</v>
      </c>
      <c r="C51" s="10" t="str">
        <f>TEXT(Table1[[#This Row],[Date ]],"dddd")</f>
        <v>Wednesday</v>
      </c>
      <c r="D51" s="10" t="str">
        <f>TEXT(Table1[[#This Row],[Date ]],"yyyy")</f>
        <v>2024</v>
      </c>
      <c r="E51" s="4" t="s">
        <v>14</v>
      </c>
      <c r="F51" s="4">
        <v>184.39</v>
      </c>
      <c r="G51" s="4">
        <v>184.88</v>
      </c>
      <c r="H51" s="4">
        <v>179.33</v>
      </c>
      <c r="I51" s="4">
        <v>184.02</v>
      </c>
      <c r="J51" s="4">
        <v>180</v>
      </c>
      <c r="K51" s="4">
        <v>179.65</v>
      </c>
      <c r="L51" s="4">
        <v>181.01</v>
      </c>
      <c r="M51" s="4">
        <v>207.2</v>
      </c>
      <c r="N51" s="4">
        <v>72.55</v>
      </c>
      <c r="O51" s="7">
        <v>42830411</v>
      </c>
      <c r="P51" s="8">
        <v>7752603236.3900003</v>
      </c>
      <c r="Q51" s="7">
        <v>221709</v>
      </c>
    </row>
    <row r="52" spans="1:17" x14ac:dyDescent="0.25">
      <c r="A52" s="9">
        <v>45456</v>
      </c>
      <c r="B52" s="10" t="str">
        <f t="shared" si="0"/>
        <v>Jun</v>
      </c>
      <c r="C52" s="9" t="str">
        <f>TEXT(Table1[[#This Row],[Date ]],"dddd")</f>
        <v>Thursday</v>
      </c>
      <c r="D52" s="9" t="str">
        <f>TEXT(Table1[[#This Row],[Date ]],"yyyy")</f>
        <v>2024</v>
      </c>
      <c r="E52" s="3" t="s">
        <v>14</v>
      </c>
      <c r="F52" s="3">
        <v>183.8</v>
      </c>
      <c r="G52" s="3">
        <v>185.8</v>
      </c>
      <c r="H52" s="3">
        <v>180.15</v>
      </c>
      <c r="I52" s="3">
        <v>179.65</v>
      </c>
      <c r="J52" s="3">
        <v>185.09</v>
      </c>
      <c r="K52" s="3">
        <v>184.94</v>
      </c>
      <c r="L52" s="3">
        <v>183.69</v>
      </c>
      <c r="M52" s="3">
        <v>207.2</v>
      </c>
      <c r="N52" s="3">
        <v>72.55</v>
      </c>
      <c r="O52" s="5">
        <v>47891484</v>
      </c>
      <c r="P52" s="6">
        <v>8797133900.3199997</v>
      </c>
      <c r="Q52" s="5">
        <v>206144</v>
      </c>
    </row>
    <row r="53" spans="1:17" x14ac:dyDescent="0.25">
      <c r="A53" s="10">
        <v>45457</v>
      </c>
      <c r="B53" s="10" t="str">
        <f t="shared" si="0"/>
        <v>Jun</v>
      </c>
      <c r="C53" s="10" t="str">
        <f>TEXT(Table1[[#This Row],[Date ]],"dddd")</f>
        <v>Friday</v>
      </c>
      <c r="D53" s="10" t="str">
        <f>TEXT(Table1[[#This Row],[Date ]],"yyyy")</f>
        <v>2024</v>
      </c>
      <c r="E53" s="4" t="s">
        <v>14</v>
      </c>
      <c r="F53" s="4">
        <v>185.7</v>
      </c>
      <c r="G53" s="4">
        <v>186.6</v>
      </c>
      <c r="H53" s="4">
        <v>184.05</v>
      </c>
      <c r="I53" s="4">
        <v>184.94</v>
      </c>
      <c r="J53" s="4">
        <v>186.19</v>
      </c>
      <c r="K53" s="4">
        <v>186.24</v>
      </c>
      <c r="L53" s="4">
        <v>185.75</v>
      </c>
      <c r="M53" s="4">
        <v>207.2</v>
      </c>
      <c r="N53" s="4">
        <v>72.55</v>
      </c>
      <c r="O53" s="7">
        <v>29823712</v>
      </c>
      <c r="P53" s="8">
        <v>5539710263.2799997</v>
      </c>
      <c r="Q53" s="7">
        <v>323579</v>
      </c>
    </row>
    <row r="54" spans="1:17" x14ac:dyDescent="0.25">
      <c r="A54" s="9">
        <v>45461</v>
      </c>
      <c r="B54" s="10" t="str">
        <f t="shared" si="0"/>
        <v>Jun</v>
      </c>
      <c r="C54" s="9" t="str">
        <f>TEXT(Table1[[#This Row],[Date ]],"dddd")</f>
        <v>Tuesday</v>
      </c>
      <c r="D54" s="9" t="str">
        <f>TEXT(Table1[[#This Row],[Date ]],"yyyy")</f>
        <v>2024</v>
      </c>
      <c r="E54" s="3" t="s">
        <v>14</v>
      </c>
      <c r="F54" s="3">
        <v>187.5</v>
      </c>
      <c r="G54" s="3">
        <v>189.1</v>
      </c>
      <c r="H54" s="3">
        <v>184.8</v>
      </c>
      <c r="I54" s="3">
        <v>186.24</v>
      </c>
      <c r="J54" s="3">
        <v>188.85</v>
      </c>
      <c r="K54" s="3">
        <v>188.61</v>
      </c>
      <c r="L54" s="3">
        <v>187.37</v>
      </c>
      <c r="M54" s="3">
        <v>207.2</v>
      </c>
      <c r="N54" s="3">
        <v>72.55</v>
      </c>
      <c r="O54" s="5">
        <v>40633379</v>
      </c>
      <c r="P54" s="6">
        <v>7613294938.4499998</v>
      </c>
      <c r="Q54" s="5">
        <v>231535</v>
      </c>
    </row>
    <row r="55" spans="1:17" x14ac:dyDescent="0.25">
      <c r="A55" s="10">
        <v>45462</v>
      </c>
      <c r="B55" s="10" t="str">
        <f t="shared" si="0"/>
        <v>Jun</v>
      </c>
      <c r="C55" s="10" t="str">
        <f>TEXT(Table1[[#This Row],[Date ]],"dddd")</f>
        <v>Wednesday</v>
      </c>
      <c r="D55" s="10" t="str">
        <f>TEXT(Table1[[#This Row],[Date ]],"yyyy")</f>
        <v>2024</v>
      </c>
      <c r="E55" s="4" t="s">
        <v>14</v>
      </c>
      <c r="F55" s="4">
        <v>190</v>
      </c>
      <c r="G55" s="4">
        <v>201</v>
      </c>
      <c r="H55" s="4">
        <v>189.56</v>
      </c>
      <c r="I55" s="4">
        <v>188.61</v>
      </c>
      <c r="J55" s="4">
        <v>198</v>
      </c>
      <c r="K55" s="4">
        <v>198.49</v>
      </c>
      <c r="L55" s="4">
        <v>196.81</v>
      </c>
      <c r="M55" s="4">
        <v>207.2</v>
      </c>
      <c r="N55" s="4">
        <v>72.55</v>
      </c>
      <c r="O55" s="7">
        <v>112274897</v>
      </c>
      <c r="P55" s="8">
        <v>22097056629.959999</v>
      </c>
      <c r="Q55" s="7">
        <v>558321</v>
      </c>
    </row>
    <row r="56" spans="1:17" x14ac:dyDescent="0.25">
      <c r="A56" s="9">
        <v>45463</v>
      </c>
      <c r="B56" s="10" t="str">
        <f t="shared" si="0"/>
        <v>Jun</v>
      </c>
      <c r="C56" s="9" t="str">
        <f>TEXT(Table1[[#This Row],[Date ]],"dddd")</f>
        <v>Thursday</v>
      </c>
      <c r="D56" s="9" t="str">
        <f>TEXT(Table1[[#This Row],[Date ]],"yyyy")</f>
        <v>2024</v>
      </c>
      <c r="E56" s="3" t="s">
        <v>14</v>
      </c>
      <c r="F56" s="3">
        <v>199.99</v>
      </c>
      <c r="G56" s="3">
        <v>201.8</v>
      </c>
      <c r="H56" s="3">
        <v>195</v>
      </c>
      <c r="I56" s="3">
        <v>198.49</v>
      </c>
      <c r="J56" s="3">
        <v>196.69</v>
      </c>
      <c r="K56" s="3">
        <v>197.05</v>
      </c>
      <c r="L56" s="3">
        <v>197.76</v>
      </c>
      <c r="M56" s="3">
        <v>207.2</v>
      </c>
      <c r="N56" s="3">
        <v>72.55</v>
      </c>
      <c r="O56" s="5">
        <v>44395214</v>
      </c>
      <c r="P56" s="6">
        <v>8779400623.3400002</v>
      </c>
      <c r="Q56" s="5">
        <v>229496</v>
      </c>
    </row>
    <row r="57" spans="1:17" x14ac:dyDescent="0.25">
      <c r="A57" s="10">
        <v>45464</v>
      </c>
      <c r="B57" s="10" t="str">
        <f t="shared" si="0"/>
        <v>Jun</v>
      </c>
      <c r="C57" s="10" t="str">
        <f>TEXT(Table1[[#This Row],[Date ]],"dddd")</f>
        <v>Friday</v>
      </c>
      <c r="D57" s="10" t="str">
        <f>TEXT(Table1[[#This Row],[Date ]],"yyyy")</f>
        <v>2024</v>
      </c>
      <c r="E57" s="4" t="s">
        <v>14</v>
      </c>
      <c r="F57" s="4">
        <v>197.9</v>
      </c>
      <c r="G57" s="4">
        <v>199.95</v>
      </c>
      <c r="H57" s="4">
        <v>193.05</v>
      </c>
      <c r="I57" s="4">
        <v>197.05</v>
      </c>
      <c r="J57" s="4">
        <v>193.9</v>
      </c>
      <c r="K57" s="4">
        <v>193.95</v>
      </c>
      <c r="L57" s="4">
        <v>195.97</v>
      </c>
      <c r="M57" s="4">
        <v>207.2</v>
      </c>
      <c r="N57" s="4">
        <v>72.55</v>
      </c>
      <c r="O57" s="7">
        <v>37841138</v>
      </c>
      <c r="P57" s="8">
        <v>7415651641.8299999</v>
      </c>
      <c r="Q57" s="7">
        <v>210302</v>
      </c>
    </row>
    <row r="58" spans="1:17" x14ac:dyDescent="0.25">
      <c r="A58" s="9">
        <v>45467</v>
      </c>
      <c r="B58" s="10" t="str">
        <f t="shared" si="0"/>
        <v>Jun</v>
      </c>
      <c r="C58" s="9" t="str">
        <f>TEXT(Table1[[#This Row],[Date ]],"dddd")</f>
        <v>Monday</v>
      </c>
      <c r="D58" s="9" t="str">
        <f>TEXT(Table1[[#This Row],[Date ]],"yyyy")</f>
        <v>2024</v>
      </c>
      <c r="E58" s="3" t="s">
        <v>14</v>
      </c>
      <c r="F58" s="3">
        <v>193.9</v>
      </c>
      <c r="G58" s="3">
        <v>199.8</v>
      </c>
      <c r="H58" s="3">
        <v>191.95</v>
      </c>
      <c r="I58" s="3">
        <v>193.95</v>
      </c>
      <c r="J58" s="3">
        <v>198.6</v>
      </c>
      <c r="K58" s="3">
        <v>198.92</v>
      </c>
      <c r="L58" s="3">
        <v>197.51</v>
      </c>
      <c r="M58" s="3">
        <v>207.2</v>
      </c>
      <c r="N58" s="3">
        <v>73</v>
      </c>
      <c r="O58" s="5">
        <v>34201378</v>
      </c>
      <c r="P58" s="6">
        <v>6755163316.71</v>
      </c>
      <c r="Q58" s="5">
        <v>209417</v>
      </c>
    </row>
    <row r="59" spans="1:17" x14ac:dyDescent="0.25">
      <c r="A59" s="10">
        <v>45468</v>
      </c>
      <c r="B59" s="10" t="str">
        <f t="shared" si="0"/>
        <v>Jun</v>
      </c>
      <c r="C59" s="10" t="str">
        <f>TEXT(Table1[[#This Row],[Date ]],"dddd")</f>
        <v>Tuesday</v>
      </c>
      <c r="D59" s="10" t="str">
        <f>TEXT(Table1[[#This Row],[Date ]],"yyyy")</f>
        <v>2024</v>
      </c>
      <c r="E59" s="4" t="s">
        <v>14</v>
      </c>
      <c r="F59" s="4">
        <v>201.75</v>
      </c>
      <c r="G59" s="4">
        <v>204.7</v>
      </c>
      <c r="H59" s="4">
        <v>200</v>
      </c>
      <c r="I59" s="4">
        <v>198.92</v>
      </c>
      <c r="J59" s="4">
        <v>202.56</v>
      </c>
      <c r="K59" s="4">
        <v>202.27</v>
      </c>
      <c r="L59" s="4">
        <v>202.17</v>
      </c>
      <c r="M59" s="4">
        <v>207.2</v>
      </c>
      <c r="N59" s="4">
        <v>73</v>
      </c>
      <c r="O59" s="7">
        <v>60670560</v>
      </c>
      <c r="P59" s="8">
        <v>12265799214.969999</v>
      </c>
      <c r="Q59" s="7">
        <v>334581</v>
      </c>
    </row>
    <row r="60" spans="1:17" x14ac:dyDescent="0.25">
      <c r="A60" s="9">
        <v>45469</v>
      </c>
      <c r="B60" s="10" t="str">
        <f t="shared" si="0"/>
        <v>Jun</v>
      </c>
      <c r="C60" s="9" t="str">
        <f>TEXT(Table1[[#This Row],[Date ]],"dddd")</f>
        <v>Wednesday</v>
      </c>
      <c r="D60" s="9" t="str">
        <f>TEXT(Table1[[#This Row],[Date ]],"yyyy")</f>
        <v>2024</v>
      </c>
      <c r="E60" s="3" t="s">
        <v>14</v>
      </c>
      <c r="F60" s="3">
        <v>202.56</v>
      </c>
      <c r="G60" s="3">
        <v>203.48</v>
      </c>
      <c r="H60" s="3">
        <v>196</v>
      </c>
      <c r="I60" s="3">
        <v>202.27</v>
      </c>
      <c r="J60" s="3">
        <v>197.4</v>
      </c>
      <c r="K60" s="3">
        <v>197.25</v>
      </c>
      <c r="L60" s="3">
        <v>198.09</v>
      </c>
      <c r="M60" s="3">
        <v>207.2</v>
      </c>
      <c r="N60" s="3">
        <v>73</v>
      </c>
      <c r="O60" s="5">
        <v>38934432</v>
      </c>
      <c r="P60" s="6">
        <v>7712360181.8900003</v>
      </c>
      <c r="Q60" s="5">
        <v>376673</v>
      </c>
    </row>
    <row r="61" spans="1:17" x14ac:dyDescent="0.25">
      <c r="A61" s="10">
        <v>45470</v>
      </c>
      <c r="B61" s="10" t="str">
        <f t="shared" si="0"/>
        <v>Jun</v>
      </c>
      <c r="C61" s="10" t="str">
        <f>TEXT(Table1[[#This Row],[Date ]],"dddd")</f>
        <v>Thursday</v>
      </c>
      <c r="D61" s="10" t="str">
        <f>TEXT(Table1[[#This Row],[Date ]],"yyyy")</f>
        <v>2024</v>
      </c>
      <c r="E61" s="4" t="s">
        <v>14</v>
      </c>
      <c r="F61" s="4">
        <v>198.2</v>
      </c>
      <c r="G61" s="4">
        <v>201.5</v>
      </c>
      <c r="H61" s="4">
        <v>196</v>
      </c>
      <c r="I61" s="4">
        <v>197.25</v>
      </c>
      <c r="J61" s="4">
        <v>199.9</v>
      </c>
      <c r="K61" s="4">
        <v>200.15</v>
      </c>
      <c r="L61" s="4">
        <v>198.54</v>
      </c>
      <c r="M61" s="4">
        <v>207.2</v>
      </c>
      <c r="N61" s="4">
        <v>73</v>
      </c>
      <c r="O61" s="7">
        <v>32535933</v>
      </c>
      <c r="P61" s="8">
        <v>6459556594.0699997</v>
      </c>
      <c r="Q61" s="7">
        <v>189827</v>
      </c>
    </row>
    <row r="62" spans="1:17" x14ac:dyDescent="0.25">
      <c r="A62" s="9">
        <v>45471</v>
      </c>
      <c r="B62" s="10" t="str">
        <f t="shared" si="0"/>
        <v>Jun</v>
      </c>
      <c r="C62" s="9" t="str">
        <f>TEXT(Table1[[#This Row],[Date ]],"dddd")</f>
        <v>Friday</v>
      </c>
      <c r="D62" s="9" t="str">
        <f>TEXT(Table1[[#This Row],[Date ]],"yyyy")</f>
        <v>2024</v>
      </c>
      <c r="E62" s="3" t="s">
        <v>14</v>
      </c>
      <c r="F62" s="3">
        <v>201.3</v>
      </c>
      <c r="G62" s="3">
        <v>203.92</v>
      </c>
      <c r="H62" s="3">
        <v>199.1</v>
      </c>
      <c r="I62" s="3">
        <v>200.15</v>
      </c>
      <c r="J62" s="3">
        <v>199.8</v>
      </c>
      <c r="K62" s="3">
        <v>200.56</v>
      </c>
      <c r="L62" s="3">
        <v>201.91</v>
      </c>
      <c r="M62" s="3">
        <v>207.2</v>
      </c>
      <c r="N62" s="3">
        <v>73</v>
      </c>
      <c r="O62" s="5">
        <v>37287397</v>
      </c>
      <c r="P62" s="6">
        <v>7528642571.2700005</v>
      </c>
      <c r="Q62" s="5">
        <v>293219</v>
      </c>
    </row>
    <row r="63" spans="1:17" x14ac:dyDescent="0.25">
      <c r="A63" s="10">
        <v>45474</v>
      </c>
      <c r="B63" s="10" t="str">
        <f t="shared" si="0"/>
        <v>Jul</v>
      </c>
      <c r="C63" s="10" t="str">
        <f>TEXT(Table1[[#This Row],[Date ]],"dddd")</f>
        <v>Monday</v>
      </c>
      <c r="D63" s="10" t="str">
        <f>TEXT(Table1[[#This Row],[Date ]],"yyyy")</f>
        <v>2024</v>
      </c>
      <c r="E63" s="4" t="s">
        <v>14</v>
      </c>
      <c r="F63" s="4">
        <v>199.71</v>
      </c>
      <c r="G63" s="4">
        <v>204.5</v>
      </c>
      <c r="H63" s="4">
        <v>194.56</v>
      </c>
      <c r="I63" s="4">
        <v>200.56</v>
      </c>
      <c r="J63" s="4">
        <v>203.7</v>
      </c>
      <c r="K63" s="4">
        <v>203.97</v>
      </c>
      <c r="L63" s="4">
        <v>201.16</v>
      </c>
      <c r="M63" s="4">
        <v>207.2</v>
      </c>
      <c r="N63" s="4">
        <v>73</v>
      </c>
      <c r="O63" s="7">
        <v>53536850</v>
      </c>
      <c r="P63" s="8">
        <v>10769399698.23</v>
      </c>
      <c r="Q63" s="7">
        <v>405038</v>
      </c>
    </row>
    <row r="64" spans="1:17" x14ac:dyDescent="0.25">
      <c r="A64" s="9">
        <v>45475</v>
      </c>
      <c r="B64" s="10" t="str">
        <f t="shared" si="0"/>
        <v>Jul</v>
      </c>
      <c r="C64" s="9" t="str">
        <f>TEXT(Table1[[#This Row],[Date ]],"dddd")</f>
        <v>Tuesday</v>
      </c>
      <c r="D64" s="9" t="str">
        <f>TEXT(Table1[[#This Row],[Date ]],"yyyy")</f>
        <v>2024</v>
      </c>
      <c r="E64" s="3" t="s">
        <v>14</v>
      </c>
      <c r="F64" s="3">
        <v>204</v>
      </c>
      <c r="G64" s="3">
        <v>209.84</v>
      </c>
      <c r="H64" s="3">
        <v>202.25</v>
      </c>
      <c r="I64" s="3">
        <v>203.97</v>
      </c>
      <c r="J64" s="3">
        <v>208.52</v>
      </c>
      <c r="K64" s="3">
        <v>209.09</v>
      </c>
      <c r="L64" s="3">
        <v>207.68</v>
      </c>
      <c r="M64" s="3">
        <v>209.84</v>
      </c>
      <c r="N64" s="3">
        <v>73</v>
      </c>
      <c r="O64" s="5">
        <v>65698266</v>
      </c>
      <c r="P64" s="6">
        <v>13643995174.030001</v>
      </c>
      <c r="Q64" s="5">
        <v>395061</v>
      </c>
    </row>
    <row r="65" spans="1:17" x14ac:dyDescent="0.25">
      <c r="A65" s="10">
        <v>45476</v>
      </c>
      <c r="B65" s="10" t="str">
        <f t="shared" si="0"/>
        <v>Jul</v>
      </c>
      <c r="C65" s="10" t="str">
        <f>TEXT(Table1[[#This Row],[Date ]],"dddd")</f>
        <v>Wednesday</v>
      </c>
      <c r="D65" s="10" t="str">
        <f>TEXT(Table1[[#This Row],[Date ]],"yyyy")</f>
        <v>2024</v>
      </c>
      <c r="E65" s="4" t="s">
        <v>14</v>
      </c>
      <c r="F65" s="4">
        <v>209.45</v>
      </c>
      <c r="G65" s="4">
        <v>213.95</v>
      </c>
      <c r="H65" s="4">
        <v>205.33</v>
      </c>
      <c r="I65" s="4">
        <v>209.09</v>
      </c>
      <c r="J65" s="4">
        <v>208.4</v>
      </c>
      <c r="K65" s="4">
        <v>208.44</v>
      </c>
      <c r="L65" s="4">
        <v>209.43</v>
      </c>
      <c r="M65" s="4">
        <v>213.95</v>
      </c>
      <c r="N65" s="4">
        <v>73</v>
      </c>
      <c r="O65" s="7">
        <v>61479249</v>
      </c>
      <c r="P65" s="8">
        <v>12875660946.379999</v>
      </c>
      <c r="Q65" s="7">
        <v>493334</v>
      </c>
    </row>
    <row r="66" spans="1:17" x14ac:dyDescent="0.25">
      <c r="A66" s="9">
        <v>45477</v>
      </c>
      <c r="B66" s="10" t="str">
        <f t="shared" ref="B66:B129" si="1">TEXT(A66,"mmm")</f>
        <v>Jul</v>
      </c>
      <c r="C66" s="9" t="str">
        <f>TEXT(Table1[[#This Row],[Date ]],"dddd")</f>
        <v>Thursday</v>
      </c>
      <c r="D66" s="9" t="str">
        <f>TEXT(Table1[[#This Row],[Date ]],"yyyy")</f>
        <v>2024</v>
      </c>
      <c r="E66" s="3" t="s">
        <v>14</v>
      </c>
      <c r="F66" s="3">
        <v>208.39</v>
      </c>
      <c r="G66" s="3">
        <v>210.29</v>
      </c>
      <c r="H66" s="3">
        <v>206.7</v>
      </c>
      <c r="I66" s="3">
        <v>208.44</v>
      </c>
      <c r="J66" s="3">
        <v>207.05</v>
      </c>
      <c r="K66" s="3">
        <v>207.44</v>
      </c>
      <c r="L66" s="3">
        <v>208.62</v>
      </c>
      <c r="M66" s="3">
        <v>213.95</v>
      </c>
      <c r="N66" s="3">
        <v>73</v>
      </c>
      <c r="O66" s="5">
        <v>30004307</v>
      </c>
      <c r="P66" s="6">
        <v>6259448235.1400003</v>
      </c>
      <c r="Q66" s="5">
        <v>250494</v>
      </c>
    </row>
    <row r="67" spans="1:17" x14ac:dyDescent="0.25">
      <c r="A67" s="10">
        <v>45478</v>
      </c>
      <c r="B67" s="10" t="str">
        <f t="shared" si="1"/>
        <v>Jul</v>
      </c>
      <c r="C67" s="10" t="str">
        <f>TEXT(Table1[[#This Row],[Date ]],"dddd")</f>
        <v>Friday</v>
      </c>
      <c r="D67" s="10" t="str">
        <f>TEXT(Table1[[#This Row],[Date ]],"yyyy")</f>
        <v>2024</v>
      </c>
      <c r="E67" s="4" t="s">
        <v>14</v>
      </c>
      <c r="F67" s="4">
        <v>207</v>
      </c>
      <c r="G67" s="4">
        <v>208.4</v>
      </c>
      <c r="H67" s="4">
        <v>204.77</v>
      </c>
      <c r="I67" s="4">
        <v>207.44</v>
      </c>
      <c r="J67" s="4">
        <v>207.8</v>
      </c>
      <c r="K67" s="4">
        <v>207.57</v>
      </c>
      <c r="L67" s="4">
        <v>206.61</v>
      </c>
      <c r="M67" s="4">
        <v>213.95</v>
      </c>
      <c r="N67" s="4">
        <v>73</v>
      </c>
      <c r="O67" s="7">
        <v>29681228</v>
      </c>
      <c r="P67" s="8">
        <v>6132313593.6000004</v>
      </c>
      <c r="Q67" s="7">
        <v>175324</v>
      </c>
    </row>
    <row r="68" spans="1:17" x14ac:dyDescent="0.25">
      <c r="A68" s="9">
        <v>45481</v>
      </c>
      <c r="B68" s="10" t="str">
        <f t="shared" si="1"/>
        <v>Jul</v>
      </c>
      <c r="C68" s="9" t="str">
        <f>TEXT(Table1[[#This Row],[Date ]],"dddd")</f>
        <v>Monday</v>
      </c>
      <c r="D68" s="9" t="str">
        <f>TEXT(Table1[[#This Row],[Date ]],"yyyy")</f>
        <v>2024</v>
      </c>
      <c r="E68" s="3" t="s">
        <v>14</v>
      </c>
      <c r="F68" s="3">
        <v>208.25</v>
      </c>
      <c r="G68" s="3">
        <v>210</v>
      </c>
      <c r="H68" s="3">
        <v>206</v>
      </c>
      <c r="I68" s="3">
        <v>207.57</v>
      </c>
      <c r="J68" s="3">
        <v>207.26</v>
      </c>
      <c r="K68" s="3">
        <v>207.93</v>
      </c>
      <c r="L68" s="3">
        <v>208.11</v>
      </c>
      <c r="M68" s="3">
        <v>213.95</v>
      </c>
      <c r="N68" s="3">
        <v>73.400000000000006</v>
      </c>
      <c r="O68" s="5">
        <v>18260120</v>
      </c>
      <c r="P68" s="6">
        <v>3800073707.3800001</v>
      </c>
      <c r="Q68" s="5">
        <v>173686</v>
      </c>
    </row>
    <row r="69" spans="1:17" x14ac:dyDescent="0.25">
      <c r="A69" s="10">
        <v>45482</v>
      </c>
      <c r="B69" s="10" t="str">
        <f t="shared" si="1"/>
        <v>Jul</v>
      </c>
      <c r="C69" s="10" t="str">
        <f>TEXT(Table1[[#This Row],[Date ]],"dddd")</f>
        <v>Tuesday</v>
      </c>
      <c r="D69" s="10" t="str">
        <f>TEXT(Table1[[#This Row],[Date ]],"yyyy")</f>
        <v>2024</v>
      </c>
      <c r="E69" s="4" t="s">
        <v>14</v>
      </c>
      <c r="F69" s="4">
        <v>207.8</v>
      </c>
      <c r="G69" s="4">
        <v>214</v>
      </c>
      <c r="H69" s="4">
        <v>206.61</v>
      </c>
      <c r="I69" s="4">
        <v>207.93</v>
      </c>
      <c r="J69" s="4">
        <v>212.1</v>
      </c>
      <c r="K69" s="4">
        <v>212.56</v>
      </c>
      <c r="L69" s="4">
        <v>212.16</v>
      </c>
      <c r="M69" s="4">
        <v>214</v>
      </c>
      <c r="N69" s="4">
        <v>73.400000000000006</v>
      </c>
      <c r="O69" s="7">
        <v>39312576</v>
      </c>
      <c r="P69" s="8">
        <v>8340436982.6599998</v>
      </c>
      <c r="Q69" s="7">
        <v>242335</v>
      </c>
    </row>
    <row r="70" spans="1:17" x14ac:dyDescent="0.25">
      <c r="A70" s="9">
        <v>45483</v>
      </c>
      <c r="B70" s="10" t="str">
        <f t="shared" si="1"/>
        <v>Jul</v>
      </c>
      <c r="C70" s="9" t="str">
        <f>TEXT(Table1[[#This Row],[Date ]],"dddd")</f>
        <v>Wednesday</v>
      </c>
      <c r="D70" s="9" t="str">
        <f>TEXT(Table1[[#This Row],[Date ]],"yyyy")</f>
        <v>2024</v>
      </c>
      <c r="E70" s="3" t="s">
        <v>14</v>
      </c>
      <c r="F70" s="3">
        <v>213</v>
      </c>
      <c r="G70" s="3">
        <v>213.39</v>
      </c>
      <c r="H70" s="3">
        <v>205.74</v>
      </c>
      <c r="I70" s="3">
        <v>212.56</v>
      </c>
      <c r="J70" s="3">
        <v>210.9</v>
      </c>
      <c r="K70" s="3">
        <v>211.37</v>
      </c>
      <c r="L70" s="3">
        <v>210.46</v>
      </c>
      <c r="M70" s="3">
        <v>214</v>
      </c>
      <c r="N70" s="3">
        <v>73.400000000000006</v>
      </c>
      <c r="O70" s="5">
        <v>29852043</v>
      </c>
      <c r="P70" s="6">
        <v>6282705249.8100004</v>
      </c>
      <c r="Q70" s="5">
        <v>214608</v>
      </c>
    </row>
    <row r="71" spans="1:17" x14ac:dyDescent="0.25">
      <c r="A71" s="10">
        <v>45484</v>
      </c>
      <c r="B71" s="10" t="str">
        <f t="shared" si="1"/>
        <v>Jul</v>
      </c>
      <c r="C71" s="10" t="str">
        <f>TEXT(Table1[[#This Row],[Date ]],"dddd")</f>
        <v>Thursday</v>
      </c>
      <c r="D71" s="10" t="str">
        <f>TEXT(Table1[[#This Row],[Date ]],"yyyy")</f>
        <v>2024</v>
      </c>
      <c r="E71" s="4" t="s">
        <v>14</v>
      </c>
      <c r="F71" s="4">
        <v>211.47</v>
      </c>
      <c r="G71" s="4">
        <v>218.95</v>
      </c>
      <c r="H71" s="4">
        <v>211.37</v>
      </c>
      <c r="I71" s="4">
        <v>211.37</v>
      </c>
      <c r="J71" s="4">
        <v>217</v>
      </c>
      <c r="K71" s="4">
        <v>217.14</v>
      </c>
      <c r="L71" s="4">
        <v>215.26</v>
      </c>
      <c r="M71" s="4">
        <v>218.95</v>
      </c>
      <c r="N71" s="4">
        <v>73.400000000000006</v>
      </c>
      <c r="O71" s="7">
        <v>45769091</v>
      </c>
      <c r="P71" s="8">
        <v>9852384575.2600002</v>
      </c>
      <c r="Q71" s="7">
        <v>256627</v>
      </c>
    </row>
    <row r="72" spans="1:17" x14ac:dyDescent="0.25">
      <c r="A72" s="9">
        <v>45485</v>
      </c>
      <c r="B72" s="10" t="str">
        <f t="shared" si="1"/>
        <v>Jul</v>
      </c>
      <c r="C72" s="9" t="str">
        <f>TEXT(Table1[[#This Row],[Date ]],"dddd")</f>
        <v>Friday</v>
      </c>
      <c r="D72" s="9" t="str">
        <f>TEXT(Table1[[#This Row],[Date ]],"yyyy")</f>
        <v>2024</v>
      </c>
      <c r="E72" s="3" t="s">
        <v>14</v>
      </c>
      <c r="F72" s="3">
        <v>219</v>
      </c>
      <c r="G72" s="3">
        <v>223.25</v>
      </c>
      <c r="H72" s="3">
        <v>217.05</v>
      </c>
      <c r="I72" s="3">
        <v>217.14</v>
      </c>
      <c r="J72" s="3">
        <v>223.21</v>
      </c>
      <c r="K72" s="3">
        <v>222.47</v>
      </c>
      <c r="L72" s="3">
        <v>220.29</v>
      </c>
      <c r="M72" s="3">
        <v>223.25</v>
      </c>
      <c r="N72" s="3">
        <v>73.400000000000006</v>
      </c>
      <c r="O72" s="5">
        <v>45580868</v>
      </c>
      <c r="P72" s="6">
        <v>10041203355.290001</v>
      </c>
      <c r="Q72" s="5">
        <v>251248</v>
      </c>
    </row>
    <row r="73" spans="1:17" x14ac:dyDescent="0.25">
      <c r="A73" s="10">
        <v>45488</v>
      </c>
      <c r="B73" s="10" t="str">
        <f t="shared" si="1"/>
        <v>Jul</v>
      </c>
      <c r="C73" s="10" t="str">
        <f>TEXT(Table1[[#This Row],[Date ]],"dddd")</f>
        <v>Monday</v>
      </c>
      <c r="D73" s="10" t="str">
        <f>TEXT(Table1[[#This Row],[Date ]],"yyyy")</f>
        <v>2024</v>
      </c>
      <c r="E73" s="4" t="s">
        <v>14</v>
      </c>
      <c r="F73" s="4">
        <v>225</v>
      </c>
      <c r="G73" s="4">
        <v>232</v>
      </c>
      <c r="H73" s="4">
        <v>225</v>
      </c>
      <c r="I73" s="4">
        <v>222.47</v>
      </c>
      <c r="J73" s="4">
        <v>229.25</v>
      </c>
      <c r="K73" s="4">
        <v>229.15</v>
      </c>
      <c r="L73" s="4">
        <v>227.67</v>
      </c>
      <c r="M73" s="4">
        <v>232</v>
      </c>
      <c r="N73" s="4">
        <v>76.5</v>
      </c>
      <c r="O73" s="7">
        <v>51203051</v>
      </c>
      <c r="P73" s="8">
        <v>11657208295.860001</v>
      </c>
      <c r="Q73" s="7">
        <v>360102</v>
      </c>
    </row>
    <row r="74" spans="1:17" x14ac:dyDescent="0.25">
      <c r="A74" s="9">
        <v>45489</v>
      </c>
      <c r="B74" s="10" t="str">
        <f t="shared" si="1"/>
        <v>Jul</v>
      </c>
      <c r="C74" s="9" t="str">
        <f>TEXT(Table1[[#This Row],[Date ]],"dddd")</f>
        <v>Tuesday</v>
      </c>
      <c r="D74" s="9" t="str">
        <f>TEXT(Table1[[#This Row],[Date ]],"yyyy")</f>
        <v>2024</v>
      </c>
      <c r="E74" s="3" t="s">
        <v>14</v>
      </c>
      <c r="F74" s="3">
        <v>230</v>
      </c>
      <c r="G74" s="3">
        <v>230.35</v>
      </c>
      <c r="H74" s="3">
        <v>215.3</v>
      </c>
      <c r="I74" s="3">
        <v>229.15</v>
      </c>
      <c r="J74" s="3">
        <v>218.35</v>
      </c>
      <c r="K74" s="3">
        <v>217.49</v>
      </c>
      <c r="L74" s="3">
        <v>221.83</v>
      </c>
      <c r="M74" s="3">
        <v>232</v>
      </c>
      <c r="N74" s="3">
        <v>76.5</v>
      </c>
      <c r="O74" s="5">
        <v>44681031</v>
      </c>
      <c r="P74" s="6">
        <v>9911383121.8600006</v>
      </c>
      <c r="Q74" s="5">
        <v>332122</v>
      </c>
    </row>
    <row r="75" spans="1:17" x14ac:dyDescent="0.25">
      <c r="A75" s="10">
        <v>45491</v>
      </c>
      <c r="B75" s="10" t="str">
        <f t="shared" si="1"/>
        <v>Jul</v>
      </c>
      <c r="C75" s="10" t="str">
        <f>TEXT(Table1[[#This Row],[Date ]],"dddd")</f>
        <v>Thursday</v>
      </c>
      <c r="D75" s="10" t="str">
        <f>TEXT(Table1[[#This Row],[Date ]],"yyyy")</f>
        <v>2024</v>
      </c>
      <c r="E75" s="4" t="s">
        <v>14</v>
      </c>
      <c r="F75" s="4">
        <v>217.75</v>
      </c>
      <c r="G75" s="4">
        <v>221.4</v>
      </c>
      <c r="H75" s="4">
        <v>210.25</v>
      </c>
      <c r="I75" s="4">
        <v>217.49</v>
      </c>
      <c r="J75" s="4">
        <v>220.9</v>
      </c>
      <c r="K75" s="4">
        <v>220.62</v>
      </c>
      <c r="L75" s="4">
        <v>216.05</v>
      </c>
      <c r="M75" s="4">
        <v>232</v>
      </c>
      <c r="N75" s="4">
        <v>76.5</v>
      </c>
      <c r="O75" s="7">
        <v>58537673</v>
      </c>
      <c r="P75" s="8">
        <v>12647310638.540001</v>
      </c>
      <c r="Q75" s="7">
        <v>426707</v>
      </c>
    </row>
    <row r="76" spans="1:17" x14ac:dyDescent="0.25">
      <c r="A76" s="9">
        <v>45492</v>
      </c>
      <c r="B76" s="10" t="str">
        <f t="shared" si="1"/>
        <v>Jul</v>
      </c>
      <c r="C76" s="9" t="str">
        <f>TEXT(Table1[[#This Row],[Date ]],"dddd")</f>
        <v>Friday</v>
      </c>
      <c r="D76" s="9" t="str">
        <f>TEXT(Table1[[#This Row],[Date ]],"yyyy")</f>
        <v>2024</v>
      </c>
      <c r="E76" s="3" t="s">
        <v>14</v>
      </c>
      <c r="F76" s="3">
        <v>217.99</v>
      </c>
      <c r="G76" s="3">
        <v>220.49</v>
      </c>
      <c r="H76" s="3">
        <v>213.67</v>
      </c>
      <c r="I76" s="3">
        <v>220.62</v>
      </c>
      <c r="J76" s="3">
        <v>220.05</v>
      </c>
      <c r="K76" s="3">
        <v>218.89</v>
      </c>
      <c r="L76" s="3">
        <v>217.1</v>
      </c>
      <c r="M76" s="3">
        <v>232</v>
      </c>
      <c r="N76" s="3">
        <v>76.5</v>
      </c>
      <c r="O76" s="5">
        <v>39257871</v>
      </c>
      <c r="P76" s="6">
        <v>8522944421.9099998</v>
      </c>
      <c r="Q76" s="5">
        <v>277803</v>
      </c>
    </row>
    <row r="77" spans="1:17" x14ac:dyDescent="0.25">
      <c r="A77" s="10">
        <v>45495</v>
      </c>
      <c r="B77" s="10" t="str">
        <f t="shared" si="1"/>
        <v>Jul</v>
      </c>
      <c r="C77" s="10" t="str">
        <f>TEXT(Table1[[#This Row],[Date ]],"dddd")</f>
        <v>Monday</v>
      </c>
      <c r="D77" s="10" t="str">
        <f>TEXT(Table1[[#This Row],[Date ]],"yyyy")</f>
        <v>2024</v>
      </c>
      <c r="E77" s="4" t="s">
        <v>14</v>
      </c>
      <c r="F77" s="4">
        <v>214</v>
      </c>
      <c r="G77" s="4">
        <v>222.19</v>
      </c>
      <c r="H77" s="4">
        <v>214</v>
      </c>
      <c r="I77" s="4">
        <v>218.89</v>
      </c>
      <c r="J77" s="4">
        <v>221.3</v>
      </c>
      <c r="K77" s="4">
        <v>221.66</v>
      </c>
      <c r="L77" s="4">
        <v>220.53</v>
      </c>
      <c r="M77" s="4">
        <v>232</v>
      </c>
      <c r="N77" s="4">
        <v>79.3</v>
      </c>
      <c r="O77" s="7">
        <v>33701488</v>
      </c>
      <c r="P77" s="8">
        <v>7432304552.5699997</v>
      </c>
      <c r="Q77" s="7">
        <v>288204</v>
      </c>
    </row>
    <row r="78" spans="1:17" x14ac:dyDescent="0.25">
      <c r="A78" s="9">
        <v>45496</v>
      </c>
      <c r="B78" s="10" t="str">
        <f t="shared" si="1"/>
        <v>Jul</v>
      </c>
      <c r="C78" s="9" t="str">
        <f>TEXT(Table1[[#This Row],[Date ]],"dddd")</f>
        <v>Tuesday</v>
      </c>
      <c r="D78" s="9" t="str">
        <f>TEXT(Table1[[#This Row],[Date ]],"yyyy")</f>
        <v>2024</v>
      </c>
      <c r="E78" s="3" t="s">
        <v>14</v>
      </c>
      <c r="F78" s="3">
        <v>222.5</v>
      </c>
      <c r="G78" s="3">
        <v>223.72</v>
      </c>
      <c r="H78" s="3">
        <v>207</v>
      </c>
      <c r="I78" s="3">
        <v>221.66</v>
      </c>
      <c r="J78" s="3">
        <v>216.7</v>
      </c>
      <c r="K78" s="3">
        <v>217.91</v>
      </c>
      <c r="L78" s="3">
        <v>217.29</v>
      </c>
      <c r="M78" s="3">
        <v>232</v>
      </c>
      <c r="N78" s="3">
        <v>79.3</v>
      </c>
      <c r="O78" s="5">
        <v>36589825</v>
      </c>
      <c r="P78" s="6">
        <v>7950530270.71</v>
      </c>
      <c r="Q78" s="5">
        <v>239479</v>
      </c>
    </row>
    <row r="79" spans="1:17" x14ac:dyDescent="0.25">
      <c r="A79" s="10">
        <v>45497</v>
      </c>
      <c r="B79" s="10" t="str">
        <f t="shared" si="1"/>
        <v>Jul</v>
      </c>
      <c r="C79" s="10" t="str">
        <f>TEXT(Table1[[#This Row],[Date ]],"dddd")</f>
        <v>Wednesday</v>
      </c>
      <c r="D79" s="10" t="str">
        <f>TEXT(Table1[[#This Row],[Date ]],"yyyy")</f>
        <v>2024</v>
      </c>
      <c r="E79" s="4" t="s">
        <v>14</v>
      </c>
      <c r="F79" s="4">
        <v>217.85</v>
      </c>
      <c r="G79" s="4">
        <v>225.5</v>
      </c>
      <c r="H79" s="4">
        <v>215.6</v>
      </c>
      <c r="I79" s="4">
        <v>217.91</v>
      </c>
      <c r="J79" s="4">
        <v>224.25</v>
      </c>
      <c r="K79" s="4">
        <v>223.49</v>
      </c>
      <c r="L79" s="4">
        <v>221.27</v>
      </c>
      <c r="M79" s="4">
        <v>232</v>
      </c>
      <c r="N79" s="4">
        <v>79.3</v>
      </c>
      <c r="O79" s="7">
        <v>32358784</v>
      </c>
      <c r="P79" s="8">
        <v>7160010235.1599998</v>
      </c>
      <c r="Q79" s="7">
        <v>239989</v>
      </c>
    </row>
    <row r="80" spans="1:17" x14ac:dyDescent="0.25">
      <c r="A80" s="9">
        <v>45498</v>
      </c>
      <c r="B80" s="10" t="str">
        <f t="shared" si="1"/>
        <v>Jul</v>
      </c>
      <c r="C80" s="9" t="str">
        <f>TEXT(Table1[[#This Row],[Date ]],"dddd")</f>
        <v>Thursday</v>
      </c>
      <c r="D80" s="9" t="str">
        <f>TEXT(Table1[[#This Row],[Date ]],"yyyy")</f>
        <v>2024</v>
      </c>
      <c r="E80" s="3" t="s">
        <v>14</v>
      </c>
      <c r="F80" s="3">
        <v>221</v>
      </c>
      <c r="G80" s="3">
        <v>223.97</v>
      </c>
      <c r="H80" s="3">
        <v>216.95</v>
      </c>
      <c r="I80" s="3">
        <v>223.49</v>
      </c>
      <c r="J80" s="3">
        <v>218.95</v>
      </c>
      <c r="K80" s="3">
        <v>219.31</v>
      </c>
      <c r="L80" s="3">
        <v>220.9</v>
      </c>
      <c r="M80" s="3">
        <v>232</v>
      </c>
      <c r="N80" s="3">
        <v>79.3</v>
      </c>
      <c r="O80" s="5">
        <v>26124437</v>
      </c>
      <c r="P80" s="6">
        <v>5770954197.6499996</v>
      </c>
      <c r="Q80" s="5">
        <v>235501</v>
      </c>
    </row>
    <row r="81" spans="1:17" x14ac:dyDescent="0.25">
      <c r="A81" s="10">
        <v>45499</v>
      </c>
      <c r="B81" s="10" t="str">
        <f t="shared" si="1"/>
        <v>Jul</v>
      </c>
      <c r="C81" s="10" t="str">
        <f>TEXT(Table1[[#This Row],[Date ]],"dddd")</f>
        <v>Friday</v>
      </c>
      <c r="D81" s="10" t="str">
        <f>TEXT(Table1[[#This Row],[Date ]],"yyyy")</f>
        <v>2024</v>
      </c>
      <c r="E81" s="4" t="s">
        <v>14</v>
      </c>
      <c r="F81" s="4">
        <v>219</v>
      </c>
      <c r="G81" s="4">
        <v>226.62</v>
      </c>
      <c r="H81" s="4">
        <v>216.85</v>
      </c>
      <c r="I81" s="4">
        <v>219.31</v>
      </c>
      <c r="J81" s="4">
        <v>225.35</v>
      </c>
      <c r="K81" s="4">
        <v>224.62</v>
      </c>
      <c r="L81" s="4">
        <v>221.37</v>
      </c>
      <c r="M81" s="4">
        <v>232</v>
      </c>
      <c r="N81" s="4">
        <v>79.3</v>
      </c>
      <c r="O81" s="7">
        <v>35693966</v>
      </c>
      <c r="P81" s="8">
        <v>7901568227.0200005</v>
      </c>
      <c r="Q81" s="7">
        <v>225438</v>
      </c>
    </row>
    <row r="82" spans="1:17" x14ac:dyDescent="0.25">
      <c r="A82" s="9">
        <v>45502</v>
      </c>
      <c r="B82" s="10" t="str">
        <f t="shared" si="1"/>
        <v>Jul</v>
      </c>
      <c r="C82" s="9" t="str">
        <f>TEXT(Table1[[#This Row],[Date ]],"dddd")</f>
        <v>Monday</v>
      </c>
      <c r="D82" s="9" t="str">
        <f>TEXT(Table1[[#This Row],[Date ]],"yyyy")</f>
        <v>2024</v>
      </c>
      <c r="E82" s="3" t="s">
        <v>14</v>
      </c>
      <c r="F82" s="3">
        <v>226.62</v>
      </c>
      <c r="G82" s="3">
        <v>229.46</v>
      </c>
      <c r="H82" s="3">
        <v>224.1</v>
      </c>
      <c r="I82" s="3">
        <v>224.62</v>
      </c>
      <c r="J82" s="3">
        <v>227.1</v>
      </c>
      <c r="K82" s="3">
        <v>226.89</v>
      </c>
      <c r="L82" s="3">
        <v>226.95</v>
      </c>
      <c r="M82" s="3">
        <v>232</v>
      </c>
      <c r="N82" s="3">
        <v>81.599999999999994</v>
      </c>
      <c r="O82" s="5">
        <v>40644424</v>
      </c>
      <c r="P82" s="6">
        <v>9224253180.3799992</v>
      </c>
      <c r="Q82" s="5">
        <v>202666</v>
      </c>
    </row>
    <row r="83" spans="1:17" x14ac:dyDescent="0.25">
      <c r="A83" s="10">
        <v>45503</v>
      </c>
      <c r="B83" s="10" t="str">
        <f t="shared" si="1"/>
        <v>Jul</v>
      </c>
      <c r="C83" s="10" t="str">
        <f>TEXT(Table1[[#This Row],[Date ]],"dddd")</f>
        <v>Tuesday</v>
      </c>
      <c r="D83" s="10" t="str">
        <f>TEXT(Table1[[#This Row],[Date ]],"yyyy")</f>
        <v>2024</v>
      </c>
      <c r="E83" s="4" t="s">
        <v>14</v>
      </c>
      <c r="F83" s="4">
        <v>226.95</v>
      </c>
      <c r="G83" s="4">
        <v>231.2</v>
      </c>
      <c r="H83" s="4">
        <v>225.11</v>
      </c>
      <c r="I83" s="4">
        <v>226.89</v>
      </c>
      <c r="J83" s="4">
        <v>227</v>
      </c>
      <c r="K83" s="4">
        <v>227.13</v>
      </c>
      <c r="L83" s="4">
        <v>228.58</v>
      </c>
      <c r="M83" s="4">
        <v>232</v>
      </c>
      <c r="N83" s="4">
        <v>81.599999999999994</v>
      </c>
      <c r="O83" s="7">
        <v>39378466</v>
      </c>
      <c r="P83" s="8">
        <v>9000940431</v>
      </c>
      <c r="Q83" s="7">
        <v>243511</v>
      </c>
    </row>
    <row r="84" spans="1:17" x14ac:dyDescent="0.25">
      <c r="A84" s="9">
        <v>45504</v>
      </c>
      <c r="B84" s="10" t="str">
        <f t="shared" si="1"/>
        <v>Jul</v>
      </c>
      <c r="C84" s="9" t="str">
        <f>TEXT(Table1[[#This Row],[Date ]],"dddd")</f>
        <v>Wednesday</v>
      </c>
      <c r="D84" s="9" t="str">
        <f>TEXT(Table1[[#This Row],[Date ]],"yyyy")</f>
        <v>2024</v>
      </c>
      <c r="E84" s="3" t="s">
        <v>14</v>
      </c>
      <c r="F84" s="3">
        <v>227.61</v>
      </c>
      <c r="G84" s="3">
        <v>230.14</v>
      </c>
      <c r="H84" s="3">
        <v>226.05</v>
      </c>
      <c r="I84" s="3">
        <v>227.13</v>
      </c>
      <c r="J84" s="3">
        <v>229.75</v>
      </c>
      <c r="K84" s="3">
        <v>229.45</v>
      </c>
      <c r="L84" s="3">
        <v>228.64</v>
      </c>
      <c r="M84" s="3">
        <v>232</v>
      </c>
      <c r="N84" s="3">
        <v>81.599999999999994</v>
      </c>
      <c r="O84" s="5">
        <v>25009969</v>
      </c>
      <c r="P84" s="6">
        <v>5718364662.46</v>
      </c>
      <c r="Q84" s="5">
        <v>179919</v>
      </c>
    </row>
    <row r="85" spans="1:17" x14ac:dyDescent="0.25">
      <c r="A85" s="10">
        <v>45505</v>
      </c>
      <c r="B85" s="10" t="str">
        <f t="shared" si="1"/>
        <v>Aug</v>
      </c>
      <c r="C85" s="10" t="str">
        <f>TEXT(Table1[[#This Row],[Date ]],"dddd")</f>
        <v>Thursday</v>
      </c>
      <c r="D85" s="10" t="str">
        <f>TEXT(Table1[[#This Row],[Date ]],"yyyy")</f>
        <v>2024</v>
      </c>
      <c r="E85" s="4" t="s">
        <v>14</v>
      </c>
      <c r="F85" s="4">
        <v>231</v>
      </c>
      <c r="G85" s="4">
        <v>238</v>
      </c>
      <c r="H85" s="4">
        <v>228</v>
      </c>
      <c r="I85" s="4">
        <v>229.45</v>
      </c>
      <c r="J85" s="4">
        <v>237.9</v>
      </c>
      <c r="K85" s="4">
        <v>234.09</v>
      </c>
      <c r="L85" s="4">
        <v>233.01</v>
      </c>
      <c r="M85" s="4">
        <v>238</v>
      </c>
      <c r="N85" s="4">
        <v>81.599999999999994</v>
      </c>
      <c r="O85" s="7">
        <v>87888742</v>
      </c>
      <c r="P85" s="8">
        <v>20479339298.220001</v>
      </c>
      <c r="Q85" s="7">
        <v>428427</v>
      </c>
    </row>
    <row r="86" spans="1:17" x14ac:dyDescent="0.25">
      <c r="A86" s="9">
        <v>45506</v>
      </c>
      <c r="B86" s="10" t="str">
        <f t="shared" si="1"/>
        <v>Aug</v>
      </c>
      <c r="C86" s="9" t="str">
        <f>TEXT(Table1[[#This Row],[Date ]],"dddd")</f>
        <v>Friday</v>
      </c>
      <c r="D86" s="9" t="str">
        <f>TEXT(Table1[[#This Row],[Date ]],"yyyy")</f>
        <v>2024</v>
      </c>
      <c r="E86" s="3" t="s">
        <v>14</v>
      </c>
      <c r="F86" s="3">
        <v>244.5</v>
      </c>
      <c r="G86" s="3">
        <v>278.7</v>
      </c>
      <c r="H86" s="3">
        <v>243</v>
      </c>
      <c r="I86" s="3">
        <v>234.09</v>
      </c>
      <c r="J86" s="3">
        <v>262.74</v>
      </c>
      <c r="K86" s="3">
        <v>262.33999999999997</v>
      </c>
      <c r="L86" s="3">
        <v>261.37</v>
      </c>
      <c r="M86" s="3">
        <v>278.7</v>
      </c>
      <c r="N86" s="3">
        <v>81.599999999999994</v>
      </c>
      <c r="O86" s="5">
        <v>389060620</v>
      </c>
      <c r="P86" s="6">
        <v>101688545337.28999</v>
      </c>
      <c r="Q86" s="5">
        <v>1605331</v>
      </c>
    </row>
    <row r="87" spans="1:17" x14ac:dyDescent="0.25">
      <c r="A87" s="10">
        <v>45509</v>
      </c>
      <c r="B87" s="10" t="str">
        <f t="shared" si="1"/>
        <v>Aug</v>
      </c>
      <c r="C87" s="10" t="str">
        <f>TEXT(Table1[[#This Row],[Date ]],"dddd")</f>
        <v>Monday</v>
      </c>
      <c r="D87" s="10" t="str">
        <f>TEXT(Table1[[#This Row],[Date ]],"yyyy")</f>
        <v>2024</v>
      </c>
      <c r="E87" s="4" t="s">
        <v>14</v>
      </c>
      <c r="F87" s="4">
        <v>254</v>
      </c>
      <c r="G87" s="4">
        <v>265.55</v>
      </c>
      <c r="H87" s="4">
        <v>249</v>
      </c>
      <c r="I87" s="4">
        <v>262.33999999999997</v>
      </c>
      <c r="J87" s="4">
        <v>256.14999999999998</v>
      </c>
      <c r="K87" s="4">
        <v>256.29000000000002</v>
      </c>
      <c r="L87" s="4">
        <v>257.99</v>
      </c>
      <c r="M87" s="4">
        <v>278.7</v>
      </c>
      <c r="N87" s="4">
        <v>88.3</v>
      </c>
      <c r="O87" s="7">
        <v>156106218</v>
      </c>
      <c r="P87" s="8">
        <v>40274249100.730003</v>
      </c>
      <c r="Q87" s="7">
        <v>968687</v>
      </c>
    </row>
    <row r="88" spans="1:17" x14ac:dyDescent="0.25">
      <c r="A88" s="9">
        <v>45510</v>
      </c>
      <c r="B88" s="10" t="str">
        <f t="shared" si="1"/>
        <v>Aug</v>
      </c>
      <c r="C88" s="9" t="str">
        <f>TEXT(Table1[[#This Row],[Date ]],"dddd")</f>
        <v>Tuesday</v>
      </c>
      <c r="D88" s="9" t="str">
        <f>TEXT(Table1[[#This Row],[Date ]],"yyyy")</f>
        <v>2024</v>
      </c>
      <c r="E88" s="3" t="s">
        <v>14</v>
      </c>
      <c r="F88" s="3">
        <v>265.89999999999998</v>
      </c>
      <c r="G88" s="3">
        <v>275</v>
      </c>
      <c r="H88" s="3">
        <v>247.2</v>
      </c>
      <c r="I88" s="3">
        <v>256.29000000000002</v>
      </c>
      <c r="J88" s="3">
        <v>248.9</v>
      </c>
      <c r="K88" s="3">
        <v>249.08</v>
      </c>
      <c r="L88" s="3">
        <v>260.63</v>
      </c>
      <c r="M88" s="3">
        <v>278.7</v>
      </c>
      <c r="N88" s="3">
        <v>88.3</v>
      </c>
      <c r="O88" s="5">
        <v>143459602</v>
      </c>
      <c r="P88" s="6">
        <v>37389437330.510002</v>
      </c>
      <c r="Q88" s="5">
        <v>843498</v>
      </c>
    </row>
    <row r="89" spans="1:17" x14ac:dyDescent="0.25">
      <c r="A89" s="10">
        <v>45511</v>
      </c>
      <c r="B89" s="10" t="str">
        <f t="shared" si="1"/>
        <v>Aug</v>
      </c>
      <c r="C89" s="10" t="str">
        <f>TEXT(Table1[[#This Row],[Date ]],"dddd")</f>
        <v>Wednesday</v>
      </c>
      <c r="D89" s="10" t="str">
        <f>TEXT(Table1[[#This Row],[Date ]],"yyyy")</f>
        <v>2024</v>
      </c>
      <c r="E89" s="4" t="s">
        <v>14</v>
      </c>
      <c r="F89" s="4">
        <v>261.52999999999997</v>
      </c>
      <c r="G89" s="4">
        <v>267.60000000000002</v>
      </c>
      <c r="H89" s="4">
        <v>251.81</v>
      </c>
      <c r="I89" s="4">
        <v>249.08</v>
      </c>
      <c r="J89" s="4">
        <v>265.98</v>
      </c>
      <c r="K89" s="4">
        <v>265.67</v>
      </c>
      <c r="L89" s="4">
        <v>261.64999999999998</v>
      </c>
      <c r="M89" s="4">
        <v>278.7</v>
      </c>
      <c r="N89" s="4">
        <v>88.3</v>
      </c>
      <c r="O89" s="7">
        <v>127379201</v>
      </c>
      <c r="P89" s="8">
        <v>33328139758.299999</v>
      </c>
      <c r="Q89" s="7">
        <v>783798</v>
      </c>
    </row>
    <row r="90" spans="1:17" x14ac:dyDescent="0.25">
      <c r="A90" s="9">
        <v>45512</v>
      </c>
      <c r="B90" s="10" t="str">
        <f t="shared" si="1"/>
        <v>Aug</v>
      </c>
      <c r="C90" s="9" t="str">
        <f>TEXT(Table1[[#This Row],[Date ]],"dddd")</f>
        <v>Thursday</v>
      </c>
      <c r="D90" s="9" t="str">
        <f>TEXT(Table1[[#This Row],[Date ]],"yyyy")</f>
        <v>2024</v>
      </c>
      <c r="E90" s="3" t="s">
        <v>14</v>
      </c>
      <c r="F90" s="3">
        <v>265</v>
      </c>
      <c r="G90" s="3">
        <v>267.5</v>
      </c>
      <c r="H90" s="3">
        <v>260</v>
      </c>
      <c r="I90" s="3">
        <v>265.67</v>
      </c>
      <c r="J90" s="3">
        <v>264.5</v>
      </c>
      <c r="K90" s="3">
        <v>265.58999999999997</v>
      </c>
      <c r="L90" s="3">
        <v>262.85000000000002</v>
      </c>
      <c r="M90" s="3">
        <v>278.7</v>
      </c>
      <c r="N90" s="3">
        <v>88.3</v>
      </c>
      <c r="O90" s="5">
        <v>57917059</v>
      </c>
      <c r="P90" s="6">
        <v>15223462598.93</v>
      </c>
      <c r="Q90" s="5">
        <v>415998</v>
      </c>
    </row>
    <row r="91" spans="1:17" x14ac:dyDescent="0.25">
      <c r="A91" s="10">
        <v>45513</v>
      </c>
      <c r="B91" s="10" t="str">
        <f t="shared" si="1"/>
        <v>Aug</v>
      </c>
      <c r="C91" s="10" t="str">
        <f>TEXT(Table1[[#This Row],[Date ]],"dddd")</f>
        <v>Friday</v>
      </c>
      <c r="D91" s="10" t="str">
        <f>TEXT(Table1[[#This Row],[Date ]],"yyyy")</f>
        <v>2024</v>
      </c>
      <c r="E91" s="4" t="s">
        <v>14</v>
      </c>
      <c r="F91" s="4">
        <v>267.73</v>
      </c>
      <c r="G91" s="4">
        <v>272.89999999999998</v>
      </c>
      <c r="H91" s="4">
        <v>265.55</v>
      </c>
      <c r="I91" s="4">
        <v>265.58999999999997</v>
      </c>
      <c r="J91" s="4">
        <v>266.89999999999998</v>
      </c>
      <c r="K91" s="4">
        <v>267.08999999999997</v>
      </c>
      <c r="L91" s="4">
        <v>269.67</v>
      </c>
      <c r="M91" s="4">
        <v>278.7</v>
      </c>
      <c r="N91" s="4">
        <v>88.3</v>
      </c>
      <c r="O91" s="7">
        <v>52601958</v>
      </c>
      <c r="P91" s="8">
        <v>14185242527.09</v>
      </c>
      <c r="Q91" s="7">
        <v>329825</v>
      </c>
    </row>
    <row r="92" spans="1:17" x14ac:dyDescent="0.25">
      <c r="A92" s="9">
        <v>45516</v>
      </c>
      <c r="B92" s="10" t="str">
        <f t="shared" si="1"/>
        <v>Aug</v>
      </c>
      <c r="C92" s="9" t="str">
        <f>TEXT(Table1[[#This Row],[Date ]],"dddd")</f>
        <v>Monday</v>
      </c>
      <c r="D92" s="9" t="str">
        <f>TEXT(Table1[[#This Row],[Date ]],"yyyy")</f>
        <v>2024</v>
      </c>
      <c r="E92" s="3" t="s">
        <v>14</v>
      </c>
      <c r="F92" s="3">
        <v>263.5</v>
      </c>
      <c r="G92" s="3">
        <v>266.49</v>
      </c>
      <c r="H92" s="3">
        <v>261.35000000000002</v>
      </c>
      <c r="I92" s="3">
        <v>267.08999999999997</v>
      </c>
      <c r="J92" s="3">
        <v>263.52</v>
      </c>
      <c r="K92" s="3">
        <v>263.43</v>
      </c>
      <c r="L92" s="3">
        <v>264.01</v>
      </c>
      <c r="M92" s="3">
        <v>278.7</v>
      </c>
      <c r="N92" s="3">
        <v>88.3</v>
      </c>
      <c r="O92" s="5">
        <v>33514964</v>
      </c>
      <c r="P92" s="6">
        <v>8848212220.0799999</v>
      </c>
      <c r="Q92" s="5">
        <v>277971</v>
      </c>
    </row>
    <row r="93" spans="1:17" x14ac:dyDescent="0.25">
      <c r="A93" s="10">
        <v>45517</v>
      </c>
      <c r="B93" s="10" t="str">
        <f t="shared" si="1"/>
        <v>Aug</v>
      </c>
      <c r="C93" s="10" t="str">
        <f>TEXT(Table1[[#This Row],[Date ]],"dddd")</f>
        <v>Tuesday</v>
      </c>
      <c r="D93" s="10" t="str">
        <f>TEXT(Table1[[#This Row],[Date ]],"yyyy")</f>
        <v>2024</v>
      </c>
      <c r="E93" s="4" t="s">
        <v>14</v>
      </c>
      <c r="F93" s="4">
        <v>265</v>
      </c>
      <c r="G93" s="4">
        <v>265.39999999999998</v>
      </c>
      <c r="H93" s="4">
        <v>256</v>
      </c>
      <c r="I93" s="4">
        <v>263.43</v>
      </c>
      <c r="J93" s="4">
        <v>258.19</v>
      </c>
      <c r="K93" s="4">
        <v>257.08</v>
      </c>
      <c r="L93" s="4">
        <v>260.16000000000003</v>
      </c>
      <c r="M93" s="4">
        <v>278.7</v>
      </c>
      <c r="N93" s="4">
        <v>88.3</v>
      </c>
      <c r="O93" s="7">
        <v>26127109</v>
      </c>
      <c r="P93" s="8">
        <v>6797328417.96</v>
      </c>
      <c r="Q93" s="7">
        <v>199894</v>
      </c>
    </row>
    <row r="94" spans="1:17" x14ac:dyDescent="0.25">
      <c r="A94" s="9">
        <v>45518</v>
      </c>
      <c r="B94" s="10" t="str">
        <f t="shared" si="1"/>
        <v>Aug</v>
      </c>
      <c r="C94" s="9" t="str">
        <f>TEXT(Table1[[#This Row],[Date ]],"dddd")</f>
        <v>Wednesday</v>
      </c>
      <c r="D94" s="9" t="str">
        <f>TEXT(Table1[[#This Row],[Date ]],"yyyy")</f>
        <v>2024</v>
      </c>
      <c r="E94" s="3" t="s">
        <v>14</v>
      </c>
      <c r="F94" s="3">
        <v>260.3</v>
      </c>
      <c r="G94" s="3">
        <v>264.5</v>
      </c>
      <c r="H94" s="3">
        <v>255.5</v>
      </c>
      <c r="I94" s="3">
        <v>257.08</v>
      </c>
      <c r="J94" s="3">
        <v>259.25</v>
      </c>
      <c r="K94" s="3">
        <v>260.14</v>
      </c>
      <c r="L94" s="3">
        <v>259.87</v>
      </c>
      <c r="M94" s="3">
        <v>278.7</v>
      </c>
      <c r="N94" s="3">
        <v>88.3</v>
      </c>
      <c r="O94" s="5">
        <v>41735068</v>
      </c>
      <c r="P94" s="6">
        <v>10845566362.67</v>
      </c>
      <c r="Q94" s="5">
        <v>305078</v>
      </c>
    </row>
    <row r="95" spans="1:17" x14ac:dyDescent="0.25">
      <c r="A95" s="10">
        <v>45520</v>
      </c>
      <c r="B95" s="10" t="str">
        <f t="shared" si="1"/>
        <v>Aug</v>
      </c>
      <c r="C95" s="10" t="str">
        <f>TEXT(Table1[[#This Row],[Date ]],"dddd")</f>
        <v>Friday</v>
      </c>
      <c r="D95" s="10" t="str">
        <f>TEXT(Table1[[#This Row],[Date ]],"yyyy")</f>
        <v>2024</v>
      </c>
      <c r="E95" s="4" t="s">
        <v>14</v>
      </c>
      <c r="F95" s="4">
        <v>260.7</v>
      </c>
      <c r="G95" s="4">
        <v>266.2</v>
      </c>
      <c r="H95" s="4">
        <v>257.01</v>
      </c>
      <c r="I95" s="4">
        <v>260.14</v>
      </c>
      <c r="J95" s="4">
        <v>264.75</v>
      </c>
      <c r="K95" s="4">
        <v>264.43</v>
      </c>
      <c r="L95" s="4">
        <v>261.39</v>
      </c>
      <c r="M95" s="4">
        <v>278.7</v>
      </c>
      <c r="N95" s="4">
        <v>88.3</v>
      </c>
      <c r="O95" s="7">
        <v>42932761</v>
      </c>
      <c r="P95" s="8">
        <v>11222049172.870001</v>
      </c>
      <c r="Q95" s="7">
        <v>290705</v>
      </c>
    </row>
    <row r="96" spans="1:17" x14ac:dyDescent="0.25">
      <c r="A96" s="9">
        <v>45523</v>
      </c>
      <c r="B96" s="10" t="str">
        <f t="shared" si="1"/>
        <v>Aug</v>
      </c>
      <c r="C96" s="9" t="str">
        <f>TEXT(Table1[[#This Row],[Date ]],"dddd")</f>
        <v>Monday</v>
      </c>
      <c r="D96" s="9" t="str">
        <f>TEXT(Table1[[#This Row],[Date ]],"yyyy")</f>
        <v>2024</v>
      </c>
      <c r="E96" s="3" t="s">
        <v>14</v>
      </c>
      <c r="F96" s="3">
        <v>278</v>
      </c>
      <c r="G96" s="3">
        <v>280.89999999999998</v>
      </c>
      <c r="H96" s="3">
        <v>261</v>
      </c>
      <c r="I96" s="3">
        <v>264.43</v>
      </c>
      <c r="J96" s="3">
        <v>263.24</v>
      </c>
      <c r="K96" s="3">
        <v>262.17</v>
      </c>
      <c r="L96" s="3">
        <v>269.14</v>
      </c>
      <c r="M96" s="3">
        <v>280.89999999999998</v>
      </c>
      <c r="N96" s="3">
        <v>88.3</v>
      </c>
      <c r="O96" s="5">
        <v>80435895</v>
      </c>
      <c r="P96" s="6">
        <v>21648732492.189999</v>
      </c>
      <c r="Q96" s="5">
        <v>509883</v>
      </c>
    </row>
    <row r="97" spans="1:17" x14ac:dyDescent="0.25">
      <c r="A97" s="10">
        <v>45524</v>
      </c>
      <c r="B97" s="10" t="str">
        <f t="shared" si="1"/>
        <v>Aug</v>
      </c>
      <c r="C97" s="10" t="str">
        <f>TEXT(Table1[[#This Row],[Date ]],"dddd")</f>
        <v>Tuesday</v>
      </c>
      <c r="D97" s="10" t="str">
        <f>TEXT(Table1[[#This Row],[Date ]],"yyyy")</f>
        <v>2024</v>
      </c>
      <c r="E97" s="4" t="s">
        <v>14</v>
      </c>
      <c r="F97" s="4">
        <v>262</v>
      </c>
      <c r="G97" s="4">
        <v>264.45</v>
      </c>
      <c r="H97" s="4">
        <v>258.25</v>
      </c>
      <c r="I97" s="4">
        <v>262.17</v>
      </c>
      <c r="J97" s="4">
        <v>263.2</v>
      </c>
      <c r="K97" s="4">
        <v>263.12</v>
      </c>
      <c r="L97" s="4">
        <v>261.01</v>
      </c>
      <c r="M97" s="4">
        <v>280.89999999999998</v>
      </c>
      <c r="N97" s="4">
        <v>88.3</v>
      </c>
      <c r="O97" s="7">
        <v>132396556</v>
      </c>
      <c r="P97" s="8">
        <v>34556755246.82</v>
      </c>
      <c r="Q97" s="7">
        <v>510308</v>
      </c>
    </row>
    <row r="98" spans="1:17" x14ac:dyDescent="0.25">
      <c r="A98" s="9">
        <v>45525</v>
      </c>
      <c r="B98" s="10" t="str">
        <f t="shared" si="1"/>
        <v>Aug</v>
      </c>
      <c r="C98" s="9" t="str">
        <f>TEXT(Table1[[#This Row],[Date ]],"dddd")</f>
        <v>Wednesday</v>
      </c>
      <c r="D98" s="9" t="str">
        <f>TEXT(Table1[[#This Row],[Date ]],"yyyy")</f>
        <v>2024</v>
      </c>
      <c r="E98" s="3" t="s">
        <v>14</v>
      </c>
      <c r="F98" s="3">
        <v>263.12</v>
      </c>
      <c r="G98" s="3">
        <v>264.45</v>
      </c>
      <c r="H98" s="3">
        <v>259</v>
      </c>
      <c r="I98" s="3">
        <v>263.12</v>
      </c>
      <c r="J98" s="3">
        <v>259.77</v>
      </c>
      <c r="K98" s="3">
        <v>260.02999999999997</v>
      </c>
      <c r="L98" s="3">
        <v>261.13</v>
      </c>
      <c r="M98" s="3">
        <v>280.89999999999998</v>
      </c>
      <c r="N98" s="3">
        <v>88.3</v>
      </c>
      <c r="O98" s="5">
        <v>38605742</v>
      </c>
      <c r="P98" s="6">
        <v>10081259132.6</v>
      </c>
      <c r="Q98" s="5">
        <v>243526</v>
      </c>
    </row>
    <row r="99" spans="1:17" x14ac:dyDescent="0.25">
      <c r="A99" s="10">
        <v>45526</v>
      </c>
      <c r="B99" s="10" t="str">
        <f t="shared" si="1"/>
        <v>Aug</v>
      </c>
      <c r="C99" s="10" t="str">
        <f>TEXT(Table1[[#This Row],[Date ]],"dddd")</f>
        <v>Thursday</v>
      </c>
      <c r="D99" s="10" t="str">
        <f>TEXT(Table1[[#This Row],[Date ]],"yyyy")</f>
        <v>2024</v>
      </c>
      <c r="E99" s="4" t="s">
        <v>14</v>
      </c>
      <c r="F99" s="4">
        <v>264</v>
      </c>
      <c r="G99" s="4">
        <v>267</v>
      </c>
      <c r="H99" s="4">
        <v>256.01</v>
      </c>
      <c r="I99" s="4">
        <v>260.02999999999997</v>
      </c>
      <c r="J99" s="4">
        <v>257.85000000000002</v>
      </c>
      <c r="K99" s="4">
        <v>257.95999999999998</v>
      </c>
      <c r="L99" s="4">
        <v>260.41000000000003</v>
      </c>
      <c r="M99" s="4">
        <v>280.89999999999998</v>
      </c>
      <c r="N99" s="4">
        <v>88.3</v>
      </c>
      <c r="O99" s="7">
        <v>73893288</v>
      </c>
      <c r="P99" s="8">
        <v>19242851652.700001</v>
      </c>
      <c r="Q99" s="7">
        <v>475958</v>
      </c>
    </row>
    <row r="100" spans="1:17" x14ac:dyDescent="0.25">
      <c r="A100" s="9">
        <v>45527</v>
      </c>
      <c r="B100" s="10" t="str">
        <f t="shared" si="1"/>
        <v>Aug</v>
      </c>
      <c r="C100" s="9" t="str">
        <f>TEXT(Table1[[#This Row],[Date ]],"dddd")</f>
        <v>Friday</v>
      </c>
      <c r="D100" s="9" t="str">
        <f>TEXT(Table1[[#This Row],[Date ]],"yyyy")</f>
        <v>2024</v>
      </c>
      <c r="E100" s="3" t="s">
        <v>14</v>
      </c>
      <c r="F100" s="3">
        <v>260.41000000000003</v>
      </c>
      <c r="G100" s="3">
        <v>269.89999999999998</v>
      </c>
      <c r="H100" s="3">
        <v>258.31</v>
      </c>
      <c r="I100" s="3">
        <v>257.95999999999998</v>
      </c>
      <c r="J100" s="3">
        <v>263.48</v>
      </c>
      <c r="K100" s="3">
        <v>262.64999999999998</v>
      </c>
      <c r="L100" s="3">
        <v>265.68</v>
      </c>
      <c r="M100" s="3">
        <v>280.89999999999998</v>
      </c>
      <c r="N100" s="3">
        <v>88.3</v>
      </c>
      <c r="O100" s="5">
        <v>102220794</v>
      </c>
      <c r="P100" s="6">
        <v>27157833315.939999</v>
      </c>
      <c r="Q100" s="5">
        <v>680202</v>
      </c>
    </row>
    <row r="101" spans="1:17" x14ac:dyDescent="0.25">
      <c r="A101" s="10">
        <v>45530</v>
      </c>
      <c r="B101" s="10" t="str">
        <f t="shared" si="1"/>
        <v>Aug</v>
      </c>
      <c r="C101" s="10" t="str">
        <f>TEXT(Table1[[#This Row],[Date ]],"dddd")</f>
        <v>Monday</v>
      </c>
      <c r="D101" s="10" t="str">
        <f>TEXT(Table1[[#This Row],[Date ]],"yyyy")</f>
        <v>2024</v>
      </c>
      <c r="E101" s="4" t="s">
        <v>14</v>
      </c>
      <c r="F101" s="4">
        <v>263.8</v>
      </c>
      <c r="G101" s="4">
        <v>264.42</v>
      </c>
      <c r="H101" s="4">
        <v>258.10000000000002</v>
      </c>
      <c r="I101" s="4">
        <v>262.64999999999998</v>
      </c>
      <c r="J101" s="4">
        <v>259.5</v>
      </c>
      <c r="K101" s="4">
        <v>259.39</v>
      </c>
      <c r="L101" s="4">
        <v>260.17</v>
      </c>
      <c r="M101" s="4">
        <v>280.89999999999998</v>
      </c>
      <c r="N101" s="4">
        <v>91.75</v>
      </c>
      <c r="O101" s="7">
        <v>36184864</v>
      </c>
      <c r="P101" s="8">
        <v>9414366111.3500004</v>
      </c>
      <c r="Q101" s="7">
        <v>303446</v>
      </c>
    </row>
    <row r="102" spans="1:17" x14ac:dyDescent="0.25">
      <c r="A102" s="9">
        <v>45531</v>
      </c>
      <c r="B102" s="10" t="str">
        <f t="shared" si="1"/>
        <v>Aug</v>
      </c>
      <c r="C102" s="9" t="str">
        <f>TEXT(Table1[[#This Row],[Date ]],"dddd")</f>
        <v>Tuesday</v>
      </c>
      <c r="D102" s="9" t="str">
        <f>TEXT(Table1[[#This Row],[Date ]],"yyyy")</f>
        <v>2024</v>
      </c>
      <c r="E102" s="3" t="s">
        <v>14</v>
      </c>
      <c r="F102" s="3">
        <v>260.75</v>
      </c>
      <c r="G102" s="3">
        <v>261.39999999999998</v>
      </c>
      <c r="H102" s="3">
        <v>255.4</v>
      </c>
      <c r="I102" s="3">
        <v>259.39</v>
      </c>
      <c r="J102" s="3">
        <v>255.75</v>
      </c>
      <c r="K102" s="3">
        <v>256.05</v>
      </c>
      <c r="L102" s="3">
        <v>257.29000000000002</v>
      </c>
      <c r="M102" s="3">
        <v>280.89999999999998</v>
      </c>
      <c r="N102" s="3">
        <v>91.75</v>
      </c>
      <c r="O102" s="5">
        <v>31816706</v>
      </c>
      <c r="P102" s="6">
        <v>8186069806.5900002</v>
      </c>
      <c r="Q102" s="5">
        <v>298236</v>
      </c>
    </row>
    <row r="103" spans="1:17" x14ac:dyDescent="0.25">
      <c r="A103" s="10">
        <v>45532</v>
      </c>
      <c r="B103" s="10" t="str">
        <f t="shared" si="1"/>
        <v>Aug</v>
      </c>
      <c r="C103" s="10" t="str">
        <f>TEXT(Table1[[#This Row],[Date ]],"dddd")</f>
        <v>Wednesday</v>
      </c>
      <c r="D103" s="10" t="str">
        <f>TEXT(Table1[[#This Row],[Date ]],"yyyy")</f>
        <v>2024</v>
      </c>
      <c r="E103" s="4" t="s">
        <v>14</v>
      </c>
      <c r="F103" s="4">
        <v>257</v>
      </c>
      <c r="G103" s="4">
        <v>257.74</v>
      </c>
      <c r="H103" s="4">
        <v>252.15</v>
      </c>
      <c r="I103" s="4">
        <v>256.05</v>
      </c>
      <c r="J103" s="4">
        <v>253</v>
      </c>
      <c r="K103" s="4">
        <v>253.04</v>
      </c>
      <c r="L103" s="4">
        <v>254.8</v>
      </c>
      <c r="M103" s="4">
        <v>280.89999999999998</v>
      </c>
      <c r="N103" s="4">
        <v>91.75</v>
      </c>
      <c r="O103" s="7">
        <v>28603253</v>
      </c>
      <c r="P103" s="8">
        <v>7288071782.2200003</v>
      </c>
      <c r="Q103" s="7">
        <v>281460</v>
      </c>
    </row>
    <row r="104" spans="1:17" x14ac:dyDescent="0.25">
      <c r="A104" s="9">
        <v>45533</v>
      </c>
      <c r="B104" s="10" t="str">
        <f t="shared" si="1"/>
        <v>Aug</v>
      </c>
      <c r="C104" s="9" t="str">
        <f>TEXT(Table1[[#This Row],[Date ]],"dddd")</f>
        <v>Thursday</v>
      </c>
      <c r="D104" s="9" t="str">
        <f>TEXT(Table1[[#This Row],[Date ]],"yyyy")</f>
        <v>2024</v>
      </c>
      <c r="E104" s="3" t="s">
        <v>14</v>
      </c>
      <c r="F104" s="3">
        <v>254.78</v>
      </c>
      <c r="G104" s="3">
        <v>256.35000000000002</v>
      </c>
      <c r="H104" s="3">
        <v>248.51</v>
      </c>
      <c r="I104" s="3">
        <v>253.04</v>
      </c>
      <c r="J104" s="3">
        <v>251.75</v>
      </c>
      <c r="K104" s="3">
        <v>252.34</v>
      </c>
      <c r="L104" s="3">
        <v>251.58</v>
      </c>
      <c r="M104" s="3">
        <v>280.89999999999998</v>
      </c>
      <c r="N104" s="3">
        <v>91.75</v>
      </c>
      <c r="O104" s="5">
        <v>37767471</v>
      </c>
      <c r="P104" s="6">
        <v>9501587918.8199997</v>
      </c>
      <c r="Q104" s="5">
        <v>298000</v>
      </c>
    </row>
    <row r="105" spans="1:17" x14ac:dyDescent="0.25">
      <c r="A105" s="10">
        <v>45534</v>
      </c>
      <c r="B105" s="10" t="str">
        <f t="shared" si="1"/>
        <v>Aug</v>
      </c>
      <c r="C105" s="10" t="str">
        <f>TEXT(Table1[[#This Row],[Date ]],"dddd")</f>
        <v>Friday</v>
      </c>
      <c r="D105" s="10" t="str">
        <f>TEXT(Table1[[#This Row],[Date ]],"yyyy")</f>
        <v>2024</v>
      </c>
      <c r="E105" s="4" t="s">
        <v>14</v>
      </c>
      <c r="F105" s="4">
        <v>253.5</v>
      </c>
      <c r="G105" s="4">
        <v>255.45</v>
      </c>
      <c r="H105" s="4">
        <v>248.81</v>
      </c>
      <c r="I105" s="4">
        <v>252.34</v>
      </c>
      <c r="J105" s="4">
        <v>251.18</v>
      </c>
      <c r="K105" s="4">
        <v>250.53</v>
      </c>
      <c r="L105" s="4">
        <v>251.68</v>
      </c>
      <c r="M105" s="4">
        <v>280.89999999999998</v>
      </c>
      <c r="N105" s="4">
        <v>91.75</v>
      </c>
      <c r="O105" s="7">
        <v>50157287</v>
      </c>
      <c r="P105" s="8">
        <v>12623698289.469999</v>
      </c>
      <c r="Q105" s="7">
        <v>468769</v>
      </c>
    </row>
    <row r="106" spans="1:17" x14ac:dyDescent="0.25">
      <c r="A106" s="9">
        <v>45537</v>
      </c>
      <c r="B106" s="10" t="str">
        <f t="shared" si="1"/>
        <v>Sep</v>
      </c>
      <c r="C106" s="9" t="str">
        <f>TEXT(Table1[[#This Row],[Date ]],"dddd")</f>
        <v>Monday</v>
      </c>
      <c r="D106" s="9" t="str">
        <f>TEXT(Table1[[#This Row],[Date ]],"yyyy")</f>
        <v>2024</v>
      </c>
      <c r="E106" s="3" t="s">
        <v>14</v>
      </c>
      <c r="F106" s="3">
        <v>252</v>
      </c>
      <c r="G106" s="3">
        <v>252.3</v>
      </c>
      <c r="H106" s="3">
        <v>241.85</v>
      </c>
      <c r="I106" s="3">
        <v>250.53</v>
      </c>
      <c r="J106" s="3">
        <v>245.1</v>
      </c>
      <c r="K106" s="3">
        <v>244.45</v>
      </c>
      <c r="L106" s="3">
        <v>245.44</v>
      </c>
      <c r="M106" s="3">
        <v>280.89999999999998</v>
      </c>
      <c r="N106" s="3">
        <v>96.5</v>
      </c>
      <c r="O106" s="5">
        <v>55833057</v>
      </c>
      <c r="P106" s="6">
        <v>13703406660.1</v>
      </c>
      <c r="Q106" s="5">
        <v>368854</v>
      </c>
    </row>
    <row r="107" spans="1:17" x14ac:dyDescent="0.25">
      <c r="A107" s="10">
        <v>45538</v>
      </c>
      <c r="B107" s="10" t="str">
        <f t="shared" si="1"/>
        <v>Sep</v>
      </c>
      <c r="C107" s="10" t="str">
        <f>TEXT(Table1[[#This Row],[Date ]],"dddd")</f>
        <v>Tuesday</v>
      </c>
      <c r="D107" s="10" t="str">
        <f>TEXT(Table1[[#This Row],[Date ]],"yyyy")</f>
        <v>2024</v>
      </c>
      <c r="E107" s="4" t="s">
        <v>14</v>
      </c>
      <c r="F107" s="4">
        <v>246.75</v>
      </c>
      <c r="G107" s="4">
        <v>252.95</v>
      </c>
      <c r="H107" s="4">
        <v>245.4</v>
      </c>
      <c r="I107" s="4">
        <v>244.45</v>
      </c>
      <c r="J107" s="4">
        <v>246.7</v>
      </c>
      <c r="K107" s="4">
        <v>247.7</v>
      </c>
      <c r="L107" s="4">
        <v>248.91</v>
      </c>
      <c r="M107" s="4">
        <v>280.89999999999998</v>
      </c>
      <c r="N107" s="4">
        <v>96.5</v>
      </c>
      <c r="O107" s="7">
        <v>66538683</v>
      </c>
      <c r="P107" s="8">
        <v>16562172918.799999</v>
      </c>
      <c r="Q107" s="7">
        <v>351522</v>
      </c>
    </row>
    <row r="108" spans="1:17" x14ac:dyDescent="0.25">
      <c r="A108" s="9">
        <v>45539</v>
      </c>
      <c r="B108" s="10" t="str">
        <f t="shared" si="1"/>
        <v>Sep</v>
      </c>
      <c r="C108" s="9" t="str">
        <f>TEXT(Table1[[#This Row],[Date ]],"dddd")</f>
        <v>Wednesday</v>
      </c>
      <c r="D108" s="9" t="str">
        <f>TEXT(Table1[[#This Row],[Date ]],"yyyy")</f>
        <v>2024</v>
      </c>
      <c r="E108" s="3" t="s">
        <v>14</v>
      </c>
      <c r="F108" s="3">
        <v>244.45</v>
      </c>
      <c r="G108" s="3">
        <v>245</v>
      </c>
      <c r="H108" s="3">
        <v>240.4</v>
      </c>
      <c r="I108" s="3">
        <v>247.7</v>
      </c>
      <c r="J108" s="3">
        <v>243.75</v>
      </c>
      <c r="K108" s="3">
        <v>242.85</v>
      </c>
      <c r="L108" s="3">
        <v>242.66</v>
      </c>
      <c r="M108" s="3">
        <v>280.89999999999998</v>
      </c>
      <c r="N108" s="3">
        <v>96.5</v>
      </c>
      <c r="O108" s="5">
        <v>58762234</v>
      </c>
      <c r="P108" s="6">
        <v>14259374313.799999</v>
      </c>
      <c r="Q108" s="5">
        <v>349556</v>
      </c>
    </row>
    <row r="109" spans="1:17" x14ac:dyDescent="0.25">
      <c r="A109" s="10">
        <v>45540</v>
      </c>
      <c r="B109" s="10" t="str">
        <f t="shared" si="1"/>
        <v>Sep</v>
      </c>
      <c r="C109" s="10" t="str">
        <f>TEXT(Table1[[#This Row],[Date ]],"dddd")</f>
        <v>Thursday</v>
      </c>
      <c r="D109" s="10" t="str">
        <f>TEXT(Table1[[#This Row],[Date ]],"yyyy")</f>
        <v>2024</v>
      </c>
      <c r="E109" s="4" t="s">
        <v>14</v>
      </c>
      <c r="F109" s="4">
        <v>248.05</v>
      </c>
      <c r="G109" s="4">
        <v>261.60000000000002</v>
      </c>
      <c r="H109" s="4">
        <v>246</v>
      </c>
      <c r="I109" s="4">
        <v>242.85</v>
      </c>
      <c r="J109" s="4">
        <v>254.85</v>
      </c>
      <c r="K109" s="4">
        <v>254.85</v>
      </c>
      <c r="L109" s="4">
        <v>254.65</v>
      </c>
      <c r="M109" s="4">
        <v>280.89999999999998</v>
      </c>
      <c r="N109" s="4">
        <v>96.5</v>
      </c>
      <c r="O109" s="7">
        <v>115627516</v>
      </c>
      <c r="P109" s="8">
        <v>29444877219.849998</v>
      </c>
      <c r="Q109" s="7">
        <v>541758</v>
      </c>
    </row>
    <row r="110" spans="1:17" x14ac:dyDescent="0.25">
      <c r="A110" s="9">
        <v>45541</v>
      </c>
      <c r="B110" s="10" t="str">
        <f t="shared" si="1"/>
        <v>Sep</v>
      </c>
      <c r="C110" s="9" t="str">
        <f>TEXT(Table1[[#This Row],[Date ]],"dddd")</f>
        <v>Friday</v>
      </c>
      <c r="D110" s="9" t="str">
        <f>TEXT(Table1[[#This Row],[Date ]],"yyyy")</f>
        <v>2024</v>
      </c>
      <c r="E110" s="3" t="s">
        <v>14</v>
      </c>
      <c r="F110" s="3">
        <v>255</v>
      </c>
      <c r="G110" s="3">
        <v>262.14999999999998</v>
      </c>
      <c r="H110" s="3">
        <v>254.25</v>
      </c>
      <c r="I110" s="3">
        <v>254.85</v>
      </c>
      <c r="J110" s="3">
        <v>259.89999999999998</v>
      </c>
      <c r="K110" s="3">
        <v>259.95</v>
      </c>
      <c r="L110" s="3">
        <v>259.39999999999998</v>
      </c>
      <c r="M110" s="3">
        <v>280.89999999999998</v>
      </c>
      <c r="N110" s="3">
        <v>96.5</v>
      </c>
      <c r="O110" s="5">
        <v>75700809</v>
      </c>
      <c r="P110" s="6">
        <v>19636999927.349998</v>
      </c>
      <c r="Q110" s="5">
        <v>401289</v>
      </c>
    </row>
    <row r="111" spans="1:17" x14ac:dyDescent="0.25">
      <c r="A111" s="10">
        <v>45544</v>
      </c>
      <c r="B111" s="10" t="str">
        <f t="shared" si="1"/>
        <v>Sep</v>
      </c>
      <c r="C111" s="10" t="str">
        <f>TEXT(Table1[[#This Row],[Date ]],"dddd")</f>
        <v>Monday</v>
      </c>
      <c r="D111" s="10" t="str">
        <f>TEXT(Table1[[#This Row],[Date ]],"yyyy")</f>
        <v>2024</v>
      </c>
      <c r="E111" s="4" t="s">
        <v>14</v>
      </c>
      <c r="F111" s="4">
        <v>260</v>
      </c>
      <c r="G111" s="4">
        <v>265</v>
      </c>
      <c r="H111" s="4">
        <v>256.3</v>
      </c>
      <c r="I111" s="4">
        <v>259.95</v>
      </c>
      <c r="J111" s="4">
        <v>262.89999999999998</v>
      </c>
      <c r="K111" s="4">
        <v>263.2</v>
      </c>
      <c r="L111" s="4">
        <v>261.26</v>
      </c>
      <c r="M111" s="4">
        <v>280.89999999999998</v>
      </c>
      <c r="N111" s="4">
        <v>96.5</v>
      </c>
      <c r="O111" s="7">
        <v>58534619</v>
      </c>
      <c r="P111" s="8">
        <v>15292764488.4</v>
      </c>
      <c r="Q111" s="7">
        <v>348255</v>
      </c>
    </row>
    <row r="112" spans="1:17" x14ac:dyDescent="0.25">
      <c r="A112" s="9">
        <v>45545</v>
      </c>
      <c r="B112" s="10" t="str">
        <f t="shared" si="1"/>
        <v>Sep</v>
      </c>
      <c r="C112" s="9" t="str">
        <f>TEXT(Table1[[#This Row],[Date ]],"dddd")</f>
        <v>Tuesday</v>
      </c>
      <c r="D112" s="9" t="str">
        <f>TEXT(Table1[[#This Row],[Date ]],"yyyy")</f>
        <v>2024</v>
      </c>
      <c r="E112" s="3" t="s">
        <v>14</v>
      </c>
      <c r="F112" s="3">
        <v>265.85000000000002</v>
      </c>
      <c r="G112" s="3">
        <v>270.3</v>
      </c>
      <c r="H112" s="3">
        <v>259.55</v>
      </c>
      <c r="I112" s="3">
        <v>263.2</v>
      </c>
      <c r="J112" s="3">
        <v>267.14999999999998</v>
      </c>
      <c r="K112" s="3">
        <v>267.7</v>
      </c>
      <c r="L112" s="3">
        <v>265.56</v>
      </c>
      <c r="M112" s="3">
        <v>280.89999999999998</v>
      </c>
      <c r="N112" s="3">
        <v>96.5</v>
      </c>
      <c r="O112" s="5">
        <v>68658961</v>
      </c>
      <c r="P112" s="6">
        <v>18233126456.25</v>
      </c>
      <c r="Q112" s="5">
        <v>374474</v>
      </c>
    </row>
    <row r="113" spans="1:17" x14ac:dyDescent="0.25">
      <c r="A113" s="10">
        <v>45546</v>
      </c>
      <c r="B113" s="10" t="str">
        <f t="shared" si="1"/>
        <v>Sep</v>
      </c>
      <c r="C113" s="10" t="str">
        <f>TEXT(Table1[[#This Row],[Date ]],"dddd")</f>
        <v>Wednesday</v>
      </c>
      <c r="D113" s="10" t="str">
        <f>TEXT(Table1[[#This Row],[Date ]],"yyyy")</f>
        <v>2024</v>
      </c>
      <c r="E113" s="4" t="s">
        <v>14</v>
      </c>
      <c r="F113" s="4">
        <v>268.25</v>
      </c>
      <c r="G113" s="4">
        <v>281.5</v>
      </c>
      <c r="H113" s="4">
        <v>268.10000000000002</v>
      </c>
      <c r="I113" s="4">
        <v>267.7</v>
      </c>
      <c r="J113" s="4">
        <v>272.39999999999998</v>
      </c>
      <c r="K113" s="4">
        <v>271.75</v>
      </c>
      <c r="L113" s="4">
        <v>275.91000000000003</v>
      </c>
      <c r="M113" s="4">
        <v>281.5</v>
      </c>
      <c r="N113" s="4">
        <v>96.5</v>
      </c>
      <c r="O113" s="7">
        <v>121883781</v>
      </c>
      <c r="P113" s="8">
        <v>33628536946.400002</v>
      </c>
      <c r="Q113" s="7">
        <v>551525</v>
      </c>
    </row>
    <row r="114" spans="1:17" x14ac:dyDescent="0.25">
      <c r="A114" s="9">
        <v>45547</v>
      </c>
      <c r="B114" s="10" t="str">
        <f t="shared" si="1"/>
        <v>Sep</v>
      </c>
      <c r="C114" s="9" t="str">
        <f>TEXT(Table1[[#This Row],[Date ]],"dddd")</f>
        <v>Thursday</v>
      </c>
      <c r="D114" s="9" t="str">
        <f>TEXT(Table1[[#This Row],[Date ]],"yyyy")</f>
        <v>2024</v>
      </c>
      <c r="E114" s="3" t="s">
        <v>14</v>
      </c>
      <c r="F114" s="3">
        <v>276.3</v>
      </c>
      <c r="G114" s="3">
        <v>286</v>
      </c>
      <c r="H114" s="3">
        <v>274.3</v>
      </c>
      <c r="I114" s="3">
        <v>271.75</v>
      </c>
      <c r="J114" s="3">
        <v>283.3</v>
      </c>
      <c r="K114" s="3">
        <v>283.89999999999998</v>
      </c>
      <c r="L114" s="3">
        <v>281.66000000000003</v>
      </c>
      <c r="M114" s="3">
        <v>286</v>
      </c>
      <c r="N114" s="3">
        <v>96.5</v>
      </c>
      <c r="O114" s="5">
        <v>101691858</v>
      </c>
      <c r="P114" s="6">
        <v>28642842848.400002</v>
      </c>
      <c r="Q114" s="5">
        <v>588153</v>
      </c>
    </row>
    <row r="115" spans="1:17" x14ac:dyDescent="0.25">
      <c r="A115" s="10">
        <v>45548</v>
      </c>
      <c r="B115" s="10" t="str">
        <f t="shared" si="1"/>
        <v>Sep</v>
      </c>
      <c r="C115" s="10" t="str">
        <f>TEXT(Table1[[#This Row],[Date ]],"dddd")</f>
        <v>Friday</v>
      </c>
      <c r="D115" s="10" t="str">
        <f>TEXT(Table1[[#This Row],[Date ]],"yyyy")</f>
        <v>2024</v>
      </c>
      <c r="E115" s="4" t="s">
        <v>14</v>
      </c>
      <c r="F115" s="4">
        <v>285.39999999999998</v>
      </c>
      <c r="G115" s="4">
        <v>286.45</v>
      </c>
      <c r="H115" s="4">
        <v>271.10000000000002</v>
      </c>
      <c r="I115" s="4">
        <v>283.89999999999998</v>
      </c>
      <c r="J115" s="4">
        <v>273.5</v>
      </c>
      <c r="K115" s="4">
        <v>272.89999999999998</v>
      </c>
      <c r="L115" s="4">
        <v>277.55</v>
      </c>
      <c r="M115" s="4">
        <v>286.45</v>
      </c>
      <c r="N115" s="4">
        <v>96.5</v>
      </c>
      <c r="O115" s="7">
        <v>82150759</v>
      </c>
      <c r="P115" s="8">
        <v>22800840116.799999</v>
      </c>
      <c r="Q115" s="7">
        <v>507677</v>
      </c>
    </row>
    <row r="116" spans="1:17" x14ac:dyDescent="0.25">
      <c r="A116" s="9">
        <v>45551</v>
      </c>
      <c r="B116" s="10" t="str">
        <f t="shared" si="1"/>
        <v>Sep</v>
      </c>
      <c r="C116" s="9" t="str">
        <f>TEXT(Table1[[#This Row],[Date ]],"dddd")</f>
        <v>Monday</v>
      </c>
      <c r="D116" s="9" t="str">
        <f>TEXT(Table1[[#This Row],[Date ]],"yyyy")</f>
        <v>2024</v>
      </c>
      <c r="E116" s="3" t="s">
        <v>14</v>
      </c>
      <c r="F116" s="3">
        <v>274.5</v>
      </c>
      <c r="G116" s="3">
        <v>282</v>
      </c>
      <c r="H116" s="3">
        <v>269.2</v>
      </c>
      <c r="I116" s="3">
        <v>272.89999999999998</v>
      </c>
      <c r="J116" s="3">
        <v>278</v>
      </c>
      <c r="K116" s="3">
        <v>277.7</v>
      </c>
      <c r="L116" s="3">
        <v>273.97000000000003</v>
      </c>
      <c r="M116" s="3">
        <v>286.45</v>
      </c>
      <c r="N116" s="3">
        <v>97.75</v>
      </c>
      <c r="O116" s="5">
        <v>47792145</v>
      </c>
      <c r="P116" s="6">
        <v>13093701990.450001</v>
      </c>
      <c r="Q116" s="5">
        <v>296451</v>
      </c>
    </row>
    <row r="117" spans="1:17" x14ac:dyDescent="0.25">
      <c r="A117" s="10">
        <v>45552</v>
      </c>
      <c r="B117" s="10" t="str">
        <f t="shared" si="1"/>
        <v>Sep</v>
      </c>
      <c r="C117" s="10" t="str">
        <f>TEXT(Table1[[#This Row],[Date ]],"dddd")</f>
        <v>Tuesday</v>
      </c>
      <c r="D117" s="10" t="str">
        <f>TEXT(Table1[[#This Row],[Date ]],"yyyy")</f>
        <v>2024</v>
      </c>
      <c r="E117" s="4" t="s">
        <v>14</v>
      </c>
      <c r="F117" s="4">
        <v>277.64999999999998</v>
      </c>
      <c r="G117" s="4">
        <v>278</v>
      </c>
      <c r="H117" s="4">
        <v>270</v>
      </c>
      <c r="I117" s="4">
        <v>277.7</v>
      </c>
      <c r="J117" s="4">
        <v>270.64999999999998</v>
      </c>
      <c r="K117" s="4">
        <v>270.75</v>
      </c>
      <c r="L117" s="4">
        <v>272.72000000000003</v>
      </c>
      <c r="M117" s="4">
        <v>286.45</v>
      </c>
      <c r="N117" s="4">
        <v>97.75</v>
      </c>
      <c r="O117" s="7">
        <v>33515464</v>
      </c>
      <c r="P117" s="8">
        <v>9140209068.7999992</v>
      </c>
      <c r="Q117" s="7">
        <v>249033</v>
      </c>
    </row>
    <row r="118" spans="1:17" x14ac:dyDescent="0.25">
      <c r="A118" s="9">
        <v>45553</v>
      </c>
      <c r="B118" s="10" t="str">
        <f t="shared" si="1"/>
        <v>Sep</v>
      </c>
      <c r="C118" s="9" t="str">
        <f>TEXT(Table1[[#This Row],[Date ]],"dddd")</f>
        <v>Wednesday</v>
      </c>
      <c r="D118" s="9" t="str">
        <f>TEXT(Table1[[#This Row],[Date ]],"yyyy")</f>
        <v>2024</v>
      </c>
      <c r="E118" s="3" t="s">
        <v>14</v>
      </c>
      <c r="F118" s="3">
        <v>270.64999999999998</v>
      </c>
      <c r="G118" s="3">
        <v>277.85000000000002</v>
      </c>
      <c r="H118" s="3">
        <v>269.89999999999998</v>
      </c>
      <c r="I118" s="3">
        <v>270.75</v>
      </c>
      <c r="J118" s="3">
        <v>275.25</v>
      </c>
      <c r="K118" s="3">
        <v>275.85000000000002</v>
      </c>
      <c r="L118" s="3">
        <v>274.73</v>
      </c>
      <c r="M118" s="3">
        <v>286.45</v>
      </c>
      <c r="N118" s="3">
        <v>97.75</v>
      </c>
      <c r="O118" s="5">
        <v>30225926</v>
      </c>
      <c r="P118" s="6">
        <v>8303890608.3500004</v>
      </c>
      <c r="Q118" s="5">
        <v>221991</v>
      </c>
    </row>
    <row r="119" spans="1:17" x14ac:dyDescent="0.25">
      <c r="A119" s="10">
        <v>45554</v>
      </c>
      <c r="B119" s="10" t="str">
        <f t="shared" si="1"/>
        <v>Sep</v>
      </c>
      <c r="C119" s="10" t="str">
        <f>TEXT(Table1[[#This Row],[Date ]],"dddd")</f>
        <v>Thursday</v>
      </c>
      <c r="D119" s="10" t="str">
        <f>TEXT(Table1[[#This Row],[Date ]],"yyyy")</f>
        <v>2024</v>
      </c>
      <c r="E119" s="4" t="s">
        <v>14</v>
      </c>
      <c r="F119" s="4">
        <v>276.5</v>
      </c>
      <c r="G119" s="4">
        <v>280.95</v>
      </c>
      <c r="H119" s="4">
        <v>272.25</v>
      </c>
      <c r="I119" s="4">
        <v>275.85000000000002</v>
      </c>
      <c r="J119" s="4">
        <v>278.95</v>
      </c>
      <c r="K119" s="4">
        <v>278.85000000000002</v>
      </c>
      <c r="L119" s="4">
        <v>277.19</v>
      </c>
      <c r="M119" s="4">
        <v>286.45</v>
      </c>
      <c r="N119" s="4">
        <v>97.75</v>
      </c>
      <c r="O119" s="7">
        <v>48225291</v>
      </c>
      <c r="P119" s="8">
        <v>13367462603.75</v>
      </c>
      <c r="Q119" s="7">
        <v>321377</v>
      </c>
    </row>
    <row r="120" spans="1:17" x14ac:dyDescent="0.25">
      <c r="A120" s="9">
        <v>45555</v>
      </c>
      <c r="B120" s="10" t="str">
        <f t="shared" si="1"/>
        <v>Sep</v>
      </c>
      <c r="C120" s="9" t="str">
        <f>TEXT(Table1[[#This Row],[Date ]],"dddd")</f>
        <v>Friday</v>
      </c>
      <c r="D120" s="9" t="str">
        <f>TEXT(Table1[[#This Row],[Date ]],"yyyy")</f>
        <v>2024</v>
      </c>
      <c r="E120" s="3" t="s">
        <v>14</v>
      </c>
      <c r="F120" s="3">
        <v>279</v>
      </c>
      <c r="G120" s="3">
        <v>293</v>
      </c>
      <c r="H120" s="3">
        <v>278.95</v>
      </c>
      <c r="I120" s="3">
        <v>278.85000000000002</v>
      </c>
      <c r="J120" s="3">
        <v>289.85000000000002</v>
      </c>
      <c r="K120" s="3">
        <v>290.5</v>
      </c>
      <c r="L120" s="3">
        <v>288.29000000000002</v>
      </c>
      <c r="M120" s="3">
        <v>293</v>
      </c>
      <c r="N120" s="3">
        <v>97.75</v>
      </c>
      <c r="O120" s="5">
        <v>84416068</v>
      </c>
      <c r="P120" s="6">
        <v>24336478716.400002</v>
      </c>
      <c r="Q120" s="5">
        <v>442729</v>
      </c>
    </row>
    <row r="121" spans="1:17" x14ac:dyDescent="0.25">
      <c r="A121" s="10">
        <v>45558</v>
      </c>
      <c r="B121" s="10" t="str">
        <f t="shared" si="1"/>
        <v>Sep</v>
      </c>
      <c r="C121" s="10" t="str">
        <f>TEXT(Table1[[#This Row],[Date ]],"dddd")</f>
        <v>Monday</v>
      </c>
      <c r="D121" s="10" t="str">
        <f>TEXT(Table1[[#This Row],[Date ]],"yyyy")</f>
        <v>2024</v>
      </c>
      <c r="E121" s="4" t="s">
        <v>14</v>
      </c>
      <c r="F121" s="4">
        <v>292</v>
      </c>
      <c r="G121" s="4">
        <v>298.25</v>
      </c>
      <c r="H121" s="4">
        <v>290.55</v>
      </c>
      <c r="I121" s="4">
        <v>290.5</v>
      </c>
      <c r="J121" s="4">
        <v>297.35000000000002</v>
      </c>
      <c r="K121" s="4">
        <v>297</v>
      </c>
      <c r="L121" s="4">
        <v>294.69</v>
      </c>
      <c r="M121" s="4">
        <v>298.25</v>
      </c>
      <c r="N121" s="4">
        <v>97.75</v>
      </c>
      <c r="O121" s="7">
        <v>48761823</v>
      </c>
      <c r="P121" s="8">
        <v>14369771611.049999</v>
      </c>
      <c r="Q121" s="7">
        <v>346300</v>
      </c>
    </row>
    <row r="122" spans="1:17" x14ac:dyDescent="0.25">
      <c r="A122" s="9">
        <v>45559</v>
      </c>
      <c r="B122" s="10" t="str">
        <f t="shared" si="1"/>
        <v>Sep</v>
      </c>
      <c r="C122" s="9" t="str">
        <f>TEXT(Table1[[#This Row],[Date ]],"dddd")</f>
        <v>Tuesday</v>
      </c>
      <c r="D122" s="9" t="str">
        <f>TEXT(Table1[[#This Row],[Date ]],"yyyy")</f>
        <v>2024</v>
      </c>
      <c r="E122" s="3" t="s">
        <v>14</v>
      </c>
      <c r="F122" s="3">
        <v>298</v>
      </c>
      <c r="G122" s="3">
        <v>298</v>
      </c>
      <c r="H122" s="3">
        <v>290.25</v>
      </c>
      <c r="I122" s="3">
        <v>297</v>
      </c>
      <c r="J122" s="3">
        <v>291.3</v>
      </c>
      <c r="K122" s="3">
        <v>291.7</v>
      </c>
      <c r="L122" s="3">
        <v>293.38</v>
      </c>
      <c r="M122" s="3">
        <v>298.25</v>
      </c>
      <c r="N122" s="3">
        <v>97.75</v>
      </c>
      <c r="O122" s="5">
        <v>40844804</v>
      </c>
      <c r="P122" s="6">
        <v>11982935600</v>
      </c>
      <c r="Q122" s="5">
        <v>282718</v>
      </c>
    </row>
    <row r="123" spans="1:17" x14ac:dyDescent="0.25">
      <c r="A123" s="10">
        <v>45560</v>
      </c>
      <c r="B123" s="10" t="str">
        <f t="shared" si="1"/>
        <v>Sep</v>
      </c>
      <c r="C123" s="10" t="str">
        <f>TEXT(Table1[[#This Row],[Date ]],"dddd")</f>
        <v>Wednesday</v>
      </c>
      <c r="D123" s="10" t="str">
        <f>TEXT(Table1[[#This Row],[Date ]],"yyyy")</f>
        <v>2024</v>
      </c>
      <c r="E123" s="4" t="s">
        <v>14</v>
      </c>
      <c r="F123" s="4">
        <v>291.8</v>
      </c>
      <c r="G123" s="4">
        <v>291.85000000000002</v>
      </c>
      <c r="H123" s="4">
        <v>283.05</v>
      </c>
      <c r="I123" s="4">
        <v>291.7</v>
      </c>
      <c r="J123" s="4">
        <v>286</v>
      </c>
      <c r="K123" s="4">
        <v>285.39999999999998</v>
      </c>
      <c r="L123" s="4">
        <v>285.85000000000002</v>
      </c>
      <c r="M123" s="4">
        <v>298.25</v>
      </c>
      <c r="N123" s="4">
        <v>97.75</v>
      </c>
      <c r="O123" s="7">
        <v>47685746</v>
      </c>
      <c r="P123" s="8">
        <v>13630853572.049999</v>
      </c>
      <c r="Q123" s="7">
        <v>299869</v>
      </c>
    </row>
    <row r="124" spans="1:17" x14ac:dyDescent="0.25">
      <c r="A124" s="9">
        <v>45561</v>
      </c>
      <c r="B124" s="10" t="str">
        <f t="shared" si="1"/>
        <v>Sep</v>
      </c>
      <c r="C124" s="9" t="str">
        <f>TEXT(Table1[[#This Row],[Date ]],"dddd")</f>
        <v>Thursday</v>
      </c>
      <c r="D124" s="9" t="str">
        <f>TEXT(Table1[[#This Row],[Date ]],"yyyy")</f>
        <v>2024</v>
      </c>
      <c r="E124" s="3" t="s">
        <v>14</v>
      </c>
      <c r="F124" s="3">
        <v>285.39999999999998</v>
      </c>
      <c r="G124" s="3">
        <v>285.89999999999998</v>
      </c>
      <c r="H124" s="3">
        <v>278.5</v>
      </c>
      <c r="I124" s="3">
        <v>285.39999999999998</v>
      </c>
      <c r="J124" s="3">
        <v>284</v>
      </c>
      <c r="K124" s="3">
        <v>283.89999999999998</v>
      </c>
      <c r="L124" s="3">
        <v>282.23</v>
      </c>
      <c r="M124" s="3">
        <v>298.25</v>
      </c>
      <c r="N124" s="3">
        <v>97.75</v>
      </c>
      <c r="O124" s="5">
        <v>39057810</v>
      </c>
      <c r="P124" s="6">
        <v>11023391149.549999</v>
      </c>
      <c r="Q124" s="5">
        <v>306593</v>
      </c>
    </row>
    <row r="125" spans="1:17" x14ac:dyDescent="0.25">
      <c r="A125" s="10">
        <v>45562</v>
      </c>
      <c r="B125" s="10" t="str">
        <f t="shared" si="1"/>
        <v>Sep</v>
      </c>
      <c r="C125" s="10" t="str">
        <f>TEXT(Table1[[#This Row],[Date ]],"dddd")</f>
        <v>Friday</v>
      </c>
      <c r="D125" s="10" t="str">
        <f>TEXT(Table1[[#This Row],[Date ]],"yyyy")</f>
        <v>2024</v>
      </c>
      <c r="E125" s="4" t="s">
        <v>14</v>
      </c>
      <c r="F125" s="4">
        <v>275.39999999999998</v>
      </c>
      <c r="G125" s="4">
        <v>286.89999999999998</v>
      </c>
      <c r="H125" s="4">
        <v>273.5</v>
      </c>
      <c r="I125" s="4">
        <v>283.89999999999998</v>
      </c>
      <c r="J125" s="4">
        <v>278</v>
      </c>
      <c r="K125" s="4">
        <v>278.14999999999998</v>
      </c>
      <c r="L125" s="4">
        <v>280.64999999999998</v>
      </c>
      <c r="M125" s="4">
        <v>298.25</v>
      </c>
      <c r="N125" s="4">
        <v>97.75</v>
      </c>
      <c r="O125" s="7">
        <v>58812631</v>
      </c>
      <c r="P125" s="8">
        <v>16505762743.5</v>
      </c>
      <c r="Q125" s="7">
        <v>400634</v>
      </c>
    </row>
    <row r="126" spans="1:17" x14ac:dyDescent="0.25">
      <c r="A126" s="9">
        <v>45565</v>
      </c>
      <c r="B126" s="10" t="str">
        <f t="shared" si="1"/>
        <v>Sep</v>
      </c>
      <c r="C126" s="9" t="str">
        <f>TEXT(Table1[[#This Row],[Date ]],"dddd")</f>
        <v>Monday</v>
      </c>
      <c r="D126" s="9" t="str">
        <f>TEXT(Table1[[#This Row],[Date ]],"yyyy")</f>
        <v>2024</v>
      </c>
      <c r="E126" s="3" t="s">
        <v>14</v>
      </c>
      <c r="F126" s="3">
        <v>277.89999999999998</v>
      </c>
      <c r="G126" s="3">
        <v>277.89999999999998</v>
      </c>
      <c r="H126" s="3">
        <v>272.45</v>
      </c>
      <c r="I126" s="3">
        <v>278.14999999999998</v>
      </c>
      <c r="J126" s="3">
        <v>272.89999999999998</v>
      </c>
      <c r="K126" s="3">
        <v>273.3</v>
      </c>
      <c r="L126" s="3">
        <v>274.35000000000002</v>
      </c>
      <c r="M126" s="3">
        <v>298.25</v>
      </c>
      <c r="N126" s="3">
        <v>100</v>
      </c>
      <c r="O126" s="5">
        <v>40976919</v>
      </c>
      <c r="P126" s="6">
        <v>11242153803.4</v>
      </c>
      <c r="Q126" s="5">
        <v>360426</v>
      </c>
    </row>
    <row r="127" spans="1:17" x14ac:dyDescent="0.25">
      <c r="A127" s="10">
        <v>45566</v>
      </c>
      <c r="B127" s="10" t="str">
        <f t="shared" si="1"/>
        <v>Oct</v>
      </c>
      <c r="C127" s="10" t="str">
        <f>TEXT(Table1[[#This Row],[Date ]],"dddd")</f>
        <v>Tuesday</v>
      </c>
      <c r="D127" s="10" t="str">
        <f>TEXT(Table1[[#This Row],[Date ]],"yyyy")</f>
        <v>2024</v>
      </c>
      <c r="E127" s="4" t="s">
        <v>14</v>
      </c>
      <c r="F127" s="4">
        <v>272.55</v>
      </c>
      <c r="G127" s="4">
        <v>276.45</v>
      </c>
      <c r="H127" s="4">
        <v>271.3</v>
      </c>
      <c r="I127" s="4">
        <v>273.3</v>
      </c>
      <c r="J127" s="4">
        <v>274.45</v>
      </c>
      <c r="K127" s="4">
        <v>274.14999999999998</v>
      </c>
      <c r="L127" s="4">
        <v>273.87</v>
      </c>
      <c r="M127" s="4">
        <v>298.25</v>
      </c>
      <c r="N127" s="4">
        <v>100</v>
      </c>
      <c r="O127" s="7">
        <v>32110540</v>
      </c>
      <c r="P127" s="8">
        <v>8794019941.4500008</v>
      </c>
      <c r="Q127" s="7">
        <v>241486</v>
      </c>
    </row>
    <row r="128" spans="1:17" x14ac:dyDescent="0.25">
      <c r="A128" s="9">
        <v>45568</v>
      </c>
      <c r="B128" s="10" t="str">
        <f t="shared" si="1"/>
        <v>Oct</v>
      </c>
      <c r="C128" s="9" t="str">
        <f>TEXT(Table1[[#This Row],[Date ]],"dddd")</f>
        <v>Thursday</v>
      </c>
      <c r="D128" s="9" t="str">
        <f>TEXT(Table1[[#This Row],[Date ]],"yyyy")</f>
        <v>2024</v>
      </c>
      <c r="E128" s="3" t="s">
        <v>14</v>
      </c>
      <c r="F128" s="3">
        <v>269.7</v>
      </c>
      <c r="G128" s="3">
        <v>272.45</v>
      </c>
      <c r="H128" s="3">
        <v>268</v>
      </c>
      <c r="I128" s="3">
        <v>274.14999999999998</v>
      </c>
      <c r="J128" s="3">
        <v>268.85000000000002</v>
      </c>
      <c r="K128" s="3">
        <v>269</v>
      </c>
      <c r="L128" s="3">
        <v>269.93</v>
      </c>
      <c r="M128" s="3">
        <v>298.25</v>
      </c>
      <c r="N128" s="3">
        <v>100</v>
      </c>
      <c r="O128" s="5">
        <v>40791499</v>
      </c>
      <c r="P128" s="6">
        <v>11010751706.049999</v>
      </c>
      <c r="Q128" s="5">
        <v>379534</v>
      </c>
    </row>
    <row r="129" spans="1:17" x14ac:dyDescent="0.25">
      <c r="A129" s="10">
        <v>45569</v>
      </c>
      <c r="B129" s="10" t="str">
        <f t="shared" si="1"/>
        <v>Oct</v>
      </c>
      <c r="C129" s="10" t="str">
        <f>TEXT(Table1[[#This Row],[Date ]],"dddd")</f>
        <v>Friday</v>
      </c>
      <c r="D129" s="10" t="str">
        <f>TEXT(Table1[[#This Row],[Date ]],"yyyy")</f>
        <v>2024</v>
      </c>
      <c r="E129" s="4" t="s">
        <v>14</v>
      </c>
      <c r="F129" s="4">
        <v>267</v>
      </c>
      <c r="G129" s="4">
        <v>277.85000000000002</v>
      </c>
      <c r="H129" s="4">
        <v>264.10000000000002</v>
      </c>
      <c r="I129" s="4">
        <v>269</v>
      </c>
      <c r="J129" s="4">
        <v>274.64999999999998</v>
      </c>
      <c r="K129" s="4">
        <v>275.3</v>
      </c>
      <c r="L129" s="4">
        <v>273.49</v>
      </c>
      <c r="M129" s="4">
        <v>298.25</v>
      </c>
      <c r="N129" s="4">
        <v>100</v>
      </c>
      <c r="O129" s="7">
        <v>59102827</v>
      </c>
      <c r="P129" s="8">
        <v>16163768343.4</v>
      </c>
      <c r="Q129" s="7">
        <v>342016</v>
      </c>
    </row>
    <row r="130" spans="1:17" x14ac:dyDescent="0.25">
      <c r="A130" s="9">
        <v>45572</v>
      </c>
      <c r="B130" s="10" t="str">
        <f t="shared" ref="B130:B193" si="2">TEXT(A130,"mmm")</f>
        <v>Oct</v>
      </c>
      <c r="C130" s="9" t="str">
        <f>TEXT(Table1[[#This Row],[Date ]],"dddd")</f>
        <v>Monday</v>
      </c>
      <c r="D130" s="9" t="str">
        <f>TEXT(Table1[[#This Row],[Date ]],"yyyy")</f>
        <v>2024</v>
      </c>
      <c r="E130" s="3" t="s">
        <v>14</v>
      </c>
      <c r="F130" s="3">
        <v>278.55</v>
      </c>
      <c r="G130" s="3">
        <v>279</v>
      </c>
      <c r="H130" s="3">
        <v>261.60000000000002</v>
      </c>
      <c r="I130" s="3">
        <v>275.3</v>
      </c>
      <c r="J130" s="3">
        <v>265</v>
      </c>
      <c r="K130" s="3">
        <v>266.10000000000002</v>
      </c>
      <c r="L130" s="3">
        <v>267.17</v>
      </c>
      <c r="M130" s="3">
        <v>298.25</v>
      </c>
      <c r="N130" s="3">
        <v>101</v>
      </c>
      <c r="O130" s="5">
        <v>51381672</v>
      </c>
      <c r="P130" s="6">
        <v>13727538457.049999</v>
      </c>
      <c r="Q130" s="5">
        <v>382593</v>
      </c>
    </row>
    <row r="131" spans="1:17" x14ac:dyDescent="0.25">
      <c r="A131" s="10">
        <v>45573</v>
      </c>
      <c r="B131" s="10" t="str">
        <f t="shared" si="2"/>
        <v>Oct</v>
      </c>
      <c r="C131" s="10" t="str">
        <f>TEXT(Table1[[#This Row],[Date ]],"dddd")</f>
        <v>Tuesday</v>
      </c>
      <c r="D131" s="10" t="str">
        <f>TEXT(Table1[[#This Row],[Date ]],"yyyy")</f>
        <v>2024</v>
      </c>
      <c r="E131" s="4" t="s">
        <v>14</v>
      </c>
      <c r="F131" s="4">
        <v>266</v>
      </c>
      <c r="G131" s="4">
        <v>280.89999999999998</v>
      </c>
      <c r="H131" s="4">
        <v>262.60000000000002</v>
      </c>
      <c r="I131" s="4">
        <v>266.10000000000002</v>
      </c>
      <c r="J131" s="4">
        <v>279.8</v>
      </c>
      <c r="K131" s="4">
        <v>278.7</v>
      </c>
      <c r="L131" s="4">
        <v>274.45999999999998</v>
      </c>
      <c r="M131" s="4">
        <v>298.25</v>
      </c>
      <c r="N131" s="4">
        <v>101</v>
      </c>
      <c r="O131" s="7">
        <v>68958719</v>
      </c>
      <c r="P131" s="8">
        <v>18926259552.650002</v>
      </c>
      <c r="Q131" s="7">
        <v>376504</v>
      </c>
    </row>
    <row r="132" spans="1:17" x14ac:dyDescent="0.25">
      <c r="A132" s="9">
        <v>45574</v>
      </c>
      <c r="B132" s="10" t="str">
        <f t="shared" si="2"/>
        <v>Oct</v>
      </c>
      <c r="C132" s="9" t="str">
        <f>TEXT(Table1[[#This Row],[Date ]],"dddd")</f>
        <v>Wednesday</v>
      </c>
      <c r="D132" s="9" t="str">
        <f>TEXT(Table1[[#This Row],[Date ]],"yyyy")</f>
        <v>2024</v>
      </c>
      <c r="E132" s="3" t="s">
        <v>14</v>
      </c>
      <c r="F132" s="3">
        <v>279</v>
      </c>
      <c r="G132" s="3">
        <v>290</v>
      </c>
      <c r="H132" s="3">
        <v>275.35000000000002</v>
      </c>
      <c r="I132" s="3">
        <v>278.7</v>
      </c>
      <c r="J132" s="3">
        <v>279.75</v>
      </c>
      <c r="K132" s="3">
        <v>279.95</v>
      </c>
      <c r="L132" s="3">
        <v>283.73</v>
      </c>
      <c r="M132" s="3">
        <v>298.25</v>
      </c>
      <c r="N132" s="3">
        <v>101</v>
      </c>
      <c r="O132" s="5">
        <v>62967866</v>
      </c>
      <c r="P132" s="6">
        <v>17866095854.700001</v>
      </c>
      <c r="Q132" s="5">
        <v>400692</v>
      </c>
    </row>
    <row r="133" spans="1:17" x14ac:dyDescent="0.25">
      <c r="A133" s="10">
        <v>45575</v>
      </c>
      <c r="B133" s="10" t="str">
        <f t="shared" si="2"/>
        <v>Oct</v>
      </c>
      <c r="C133" s="10" t="str">
        <f>TEXT(Table1[[#This Row],[Date ]],"dddd")</f>
        <v>Thursday</v>
      </c>
      <c r="D133" s="10" t="str">
        <f>TEXT(Table1[[#This Row],[Date ]],"yyyy")</f>
        <v>2024</v>
      </c>
      <c r="E133" s="4" t="s">
        <v>14</v>
      </c>
      <c r="F133" s="4">
        <v>280.5</v>
      </c>
      <c r="G133" s="4">
        <v>282.45</v>
      </c>
      <c r="H133" s="4">
        <v>274.10000000000002</v>
      </c>
      <c r="I133" s="4">
        <v>279.95</v>
      </c>
      <c r="J133" s="4">
        <v>275.3</v>
      </c>
      <c r="K133" s="4">
        <v>275.35000000000002</v>
      </c>
      <c r="L133" s="4">
        <v>277.14999999999998</v>
      </c>
      <c r="M133" s="4">
        <v>298.25</v>
      </c>
      <c r="N133" s="4">
        <v>101</v>
      </c>
      <c r="O133" s="7">
        <v>38904819</v>
      </c>
      <c r="P133" s="8">
        <v>10782463736.5</v>
      </c>
      <c r="Q133" s="7">
        <v>226500</v>
      </c>
    </row>
    <row r="134" spans="1:17" x14ac:dyDescent="0.25">
      <c r="A134" s="9">
        <v>45576</v>
      </c>
      <c r="B134" s="10" t="str">
        <f t="shared" si="2"/>
        <v>Oct</v>
      </c>
      <c r="C134" s="9" t="str">
        <f>TEXT(Table1[[#This Row],[Date ]],"dddd")</f>
        <v>Friday</v>
      </c>
      <c r="D134" s="9" t="str">
        <f>TEXT(Table1[[#This Row],[Date ]],"yyyy")</f>
        <v>2024</v>
      </c>
      <c r="E134" s="3" t="s">
        <v>14</v>
      </c>
      <c r="F134" s="3">
        <v>276.39999999999998</v>
      </c>
      <c r="G134" s="3">
        <v>279</v>
      </c>
      <c r="H134" s="3">
        <v>275.5</v>
      </c>
      <c r="I134" s="3">
        <v>275.35000000000002</v>
      </c>
      <c r="J134" s="3">
        <v>276.7</v>
      </c>
      <c r="K134" s="3">
        <v>277.55</v>
      </c>
      <c r="L134" s="3">
        <v>277.08</v>
      </c>
      <c r="M134" s="3">
        <v>298.25</v>
      </c>
      <c r="N134" s="3">
        <v>101</v>
      </c>
      <c r="O134" s="5">
        <v>17126335</v>
      </c>
      <c r="P134" s="6">
        <v>4745307267.3000002</v>
      </c>
      <c r="Q134" s="5">
        <v>170018</v>
      </c>
    </row>
    <row r="135" spans="1:17" x14ac:dyDescent="0.25">
      <c r="A135" s="10">
        <v>45579</v>
      </c>
      <c r="B135" s="10" t="str">
        <f t="shared" si="2"/>
        <v>Oct</v>
      </c>
      <c r="C135" s="10" t="str">
        <f>TEXT(Table1[[#This Row],[Date ]],"dddd")</f>
        <v>Monday</v>
      </c>
      <c r="D135" s="10" t="str">
        <f>TEXT(Table1[[#This Row],[Date ]],"yyyy")</f>
        <v>2024</v>
      </c>
      <c r="E135" s="4" t="s">
        <v>14</v>
      </c>
      <c r="F135" s="4">
        <v>280.89999999999998</v>
      </c>
      <c r="G135" s="4">
        <v>285.25</v>
      </c>
      <c r="H135" s="4">
        <v>278</v>
      </c>
      <c r="I135" s="4">
        <v>277.55</v>
      </c>
      <c r="J135" s="4">
        <v>278.7</v>
      </c>
      <c r="K135" s="4">
        <v>280.05</v>
      </c>
      <c r="L135" s="4">
        <v>281.52</v>
      </c>
      <c r="M135" s="4">
        <v>298.25</v>
      </c>
      <c r="N135" s="4">
        <v>101.25</v>
      </c>
      <c r="O135" s="7">
        <v>45217362</v>
      </c>
      <c r="P135" s="8">
        <v>12729773863.049999</v>
      </c>
      <c r="Q135" s="7">
        <v>422301</v>
      </c>
    </row>
    <row r="136" spans="1:17" x14ac:dyDescent="0.25">
      <c r="A136" s="9">
        <v>45580</v>
      </c>
      <c r="B136" s="10" t="str">
        <f t="shared" si="2"/>
        <v>Oct</v>
      </c>
      <c r="C136" s="9" t="str">
        <f>TEXT(Table1[[#This Row],[Date ]],"dddd")</f>
        <v>Tuesday</v>
      </c>
      <c r="D136" s="9" t="str">
        <f>TEXT(Table1[[#This Row],[Date ]],"yyyy")</f>
        <v>2024</v>
      </c>
      <c r="E136" s="3" t="s">
        <v>14</v>
      </c>
      <c r="F136" s="3">
        <v>283</v>
      </c>
      <c r="G136" s="3">
        <v>283</v>
      </c>
      <c r="H136" s="3">
        <v>276.10000000000002</v>
      </c>
      <c r="I136" s="3">
        <v>280.05</v>
      </c>
      <c r="J136" s="3">
        <v>279.55</v>
      </c>
      <c r="K136" s="3">
        <v>279.55</v>
      </c>
      <c r="L136" s="3">
        <v>279.06</v>
      </c>
      <c r="M136" s="3">
        <v>298.25</v>
      </c>
      <c r="N136" s="3">
        <v>101.25</v>
      </c>
      <c r="O136" s="5">
        <v>23988729</v>
      </c>
      <c r="P136" s="6">
        <v>6694369974.8999996</v>
      </c>
      <c r="Q136" s="5">
        <v>211828</v>
      </c>
    </row>
    <row r="137" spans="1:17" x14ac:dyDescent="0.25">
      <c r="A137" s="10">
        <v>45581</v>
      </c>
      <c r="B137" s="10" t="str">
        <f t="shared" si="2"/>
        <v>Oct</v>
      </c>
      <c r="C137" s="10" t="str">
        <f>TEXT(Table1[[#This Row],[Date ]],"dddd")</f>
        <v>Wednesday</v>
      </c>
      <c r="D137" s="10" t="str">
        <f>TEXT(Table1[[#This Row],[Date ]],"yyyy")</f>
        <v>2024</v>
      </c>
      <c r="E137" s="4" t="s">
        <v>14</v>
      </c>
      <c r="F137" s="4">
        <v>279</v>
      </c>
      <c r="G137" s="4">
        <v>279.39999999999998</v>
      </c>
      <c r="H137" s="4">
        <v>273</v>
      </c>
      <c r="I137" s="4">
        <v>279.55</v>
      </c>
      <c r="J137" s="4">
        <v>274.45</v>
      </c>
      <c r="K137" s="4">
        <v>274.25</v>
      </c>
      <c r="L137" s="4">
        <v>275.5</v>
      </c>
      <c r="M137" s="4">
        <v>298.25</v>
      </c>
      <c r="N137" s="4">
        <v>101.25</v>
      </c>
      <c r="O137" s="7">
        <v>20872032</v>
      </c>
      <c r="P137" s="8">
        <v>5750235228.3500004</v>
      </c>
      <c r="Q137" s="7">
        <v>177786</v>
      </c>
    </row>
    <row r="138" spans="1:17" x14ac:dyDescent="0.25">
      <c r="A138" s="9">
        <v>45582</v>
      </c>
      <c r="B138" s="10" t="str">
        <f t="shared" si="2"/>
        <v>Oct</v>
      </c>
      <c r="C138" s="9" t="str">
        <f>TEXT(Table1[[#This Row],[Date ]],"dddd")</f>
        <v>Thursday</v>
      </c>
      <c r="D138" s="9" t="str">
        <f>TEXT(Table1[[#This Row],[Date ]],"yyyy")</f>
        <v>2024</v>
      </c>
      <c r="E138" s="3" t="s">
        <v>14</v>
      </c>
      <c r="F138" s="3">
        <v>275</v>
      </c>
      <c r="G138" s="3">
        <v>275.14999999999998</v>
      </c>
      <c r="H138" s="3">
        <v>268.60000000000002</v>
      </c>
      <c r="I138" s="3">
        <v>274.25</v>
      </c>
      <c r="J138" s="3">
        <v>270.3</v>
      </c>
      <c r="K138" s="3">
        <v>270.55</v>
      </c>
      <c r="L138" s="3">
        <v>271.33999999999997</v>
      </c>
      <c r="M138" s="3">
        <v>298.25</v>
      </c>
      <c r="N138" s="3">
        <v>101.25</v>
      </c>
      <c r="O138" s="5">
        <v>25228600</v>
      </c>
      <c r="P138" s="6">
        <v>6845563870.3500004</v>
      </c>
      <c r="Q138" s="5">
        <v>233011</v>
      </c>
    </row>
    <row r="139" spans="1:17" x14ac:dyDescent="0.25">
      <c r="A139" s="10">
        <v>45583</v>
      </c>
      <c r="B139" s="10" t="str">
        <f t="shared" si="2"/>
        <v>Oct</v>
      </c>
      <c r="C139" s="10" t="str">
        <f>TEXT(Table1[[#This Row],[Date ]],"dddd")</f>
        <v>Friday</v>
      </c>
      <c r="D139" s="10" t="str">
        <f>TEXT(Table1[[#This Row],[Date ]],"yyyy")</f>
        <v>2024</v>
      </c>
      <c r="E139" s="4" t="s">
        <v>14</v>
      </c>
      <c r="F139" s="4">
        <v>256.89999999999998</v>
      </c>
      <c r="G139" s="4">
        <v>270.3</v>
      </c>
      <c r="H139" s="4">
        <v>255.25</v>
      </c>
      <c r="I139" s="4">
        <v>270.55</v>
      </c>
      <c r="J139" s="4">
        <v>259.2</v>
      </c>
      <c r="K139" s="4">
        <v>257.45</v>
      </c>
      <c r="L139" s="4">
        <v>261.06</v>
      </c>
      <c r="M139" s="4">
        <v>298.25</v>
      </c>
      <c r="N139" s="4">
        <v>101.25</v>
      </c>
      <c r="O139" s="7">
        <v>108015952</v>
      </c>
      <c r="P139" s="8">
        <v>28198930951</v>
      </c>
      <c r="Q139" s="7">
        <v>587036</v>
      </c>
    </row>
    <row r="140" spans="1:17" x14ac:dyDescent="0.25">
      <c r="A140" s="9">
        <v>45586</v>
      </c>
      <c r="B140" s="10" t="str">
        <f t="shared" si="2"/>
        <v>Oct</v>
      </c>
      <c r="C140" s="9" t="str">
        <f>TEXT(Table1[[#This Row],[Date ]],"dddd")</f>
        <v>Monday</v>
      </c>
      <c r="D140" s="9" t="str">
        <f>TEXT(Table1[[#This Row],[Date ]],"yyyy")</f>
        <v>2024</v>
      </c>
      <c r="E140" s="3" t="s">
        <v>14</v>
      </c>
      <c r="F140" s="3">
        <v>258</v>
      </c>
      <c r="G140" s="3">
        <v>267</v>
      </c>
      <c r="H140" s="3">
        <v>254.5</v>
      </c>
      <c r="I140" s="3">
        <v>257.45</v>
      </c>
      <c r="J140" s="3">
        <v>265.14999999999998</v>
      </c>
      <c r="K140" s="3">
        <v>265.7</v>
      </c>
      <c r="L140" s="3">
        <v>260.81</v>
      </c>
      <c r="M140" s="3">
        <v>298.25</v>
      </c>
      <c r="N140" s="3">
        <v>101.25</v>
      </c>
      <c r="O140" s="5">
        <v>88316113</v>
      </c>
      <c r="P140" s="6">
        <v>23034038064.900002</v>
      </c>
      <c r="Q140" s="5">
        <v>503361</v>
      </c>
    </row>
    <row r="141" spans="1:17" x14ac:dyDescent="0.25">
      <c r="A141" s="10">
        <v>45587</v>
      </c>
      <c r="B141" s="10" t="str">
        <f t="shared" si="2"/>
        <v>Oct</v>
      </c>
      <c r="C141" s="10" t="str">
        <f>TEXT(Table1[[#This Row],[Date ]],"dddd")</f>
        <v>Tuesday</v>
      </c>
      <c r="D141" s="10" t="str">
        <f>TEXT(Table1[[#This Row],[Date ]],"yyyy")</f>
        <v>2024</v>
      </c>
      <c r="E141" s="4" t="s">
        <v>14</v>
      </c>
      <c r="F141" s="4">
        <v>267</v>
      </c>
      <c r="G141" s="4">
        <v>270.89999999999998</v>
      </c>
      <c r="H141" s="4">
        <v>252.75</v>
      </c>
      <c r="I141" s="4">
        <v>265.7</v>
      </c>
      <c r="J141" s="4">
        <v>256.55</v>
      </c>
      <c r="K141" s="4">
        <v>256.35000000000002</v>
      </c>
      <c r="L141" s="4">
        <v>261.87</v>
      </c>
      <c r="M141" s="4">
        <v>298.25</v>
      </c>
      <c r="N141" s="4">
        <v>101.25</v>
      </c>
      <c r="O141" s="7">
        <v>69963412</v>
      </c>
      <c r="P141" s="8">
        <v>18321100995.650002</v>
      </c>
      <c r="Q141" s="7">
        <v>387863</v>
      </c>
    </row>
    <row r="142" spans="1:17" x14ac:dyDescent="0.25">
      <c r="A142" s="9">
        <v>45588</v>
      </c>
      <c r="B142" s="10" t="str">
        <f t="shared" si="2"/>
        <v>Oct</v>
      </c>
      <c r="C142" s="9" t="str">
        <f>TEXT(Table1[[#This Row],[Date ]],"dddd")</f>
        <v>Wednesday</v>
      </c>
      <c r="D142" s="9" t="str">
        <f>TEXT(Table1[[#This Row],[Date ]],"yyyy")</f>
        <v>2024</v>
      </c>
      <c r="E142" s="3" t="s">
        <v>14</v>
      </c>
      <c r="F142" s="3">
        <v>256.35000000000002</v>
      </c>
      <c r="G142" s="3">
        <v>268</v>
      </c>
      <c r="H142" s="3">
        <v>242.1</v>
      </c>
      <c r="I142" s="3">
        <v>256.35000000000002</v>
      </c>
      <c r="J142" s="3">
        <v>264</v>
      </c>
      <c r="K142" s="3">
        <v>264.05</v>
      </c>
      <c r="L142" s="3">
        <v>257.57</v>
      </c>
      <c r="M142" s="3">
        <v>298.25</v>
      </c>
      <c r="N142" s="3">
        <v>101.25</v>
      </c>
      <c r="O142" s="5">
        <v>161602998</v>
      </c>
      <c r="P142" s="6">
        <v>41623771735.650002</v>
      </c>
      <c r="Q142" s="5">
        <v>890245</v>
      </c>
    </row>
    <row r="143" spans="1:17" x14ac:dyDescent="0.25">
      <c r="A143" s="10">
        <v>45589</v>
      </c>
      <c r="B143" s="10" t="str">
        <f t="shared" si="2"/>
        <v>Oct</v>
      </c>
      <c r="C143" s="10" t="str">
        <f>TEXT(Table1[[#This Row],[Date ]],"dddd")</f>
        <v>Thursday</v>
      </c>
      <c r="D143" s="10" t="str">
        <f>TEXT(Table1[[#This Row],[Date ]],"yyyy")</f>
        <v>2024</v>
      </c>
      <c r="E143" s="4" t="s">
        <v>14</v>
      </c>
      <c r="F143" s="4">
        <v>267.2</v>
      </c>
      <c r="G143" s="4">
        <v>268.39999999999998</v>
      </c>
      <c r="H143" s="4">
        <v>252.55</v>
      </c>
      <c r="I143" s="4">
        <v>264.05</v>
      </c>
      <c r="J143" s="4">
        <v>254.8</v>
      </c>
      <c r="K143" s="4">
        <v>254.3</v>
      </c>
      <c r="L143" s="4">
        <v>257.79000000000002</v>
      </c>
      <c r="M143" s="4">
        <v>298.25</v>
      </c>
      <c r="N143" s="4">
        <v>101.25</v>
      </c>
      <c r="O143" s="7">
        <v>60352258</v>
      </c>
      <c r="P143" s="8">
        <v>15558018449.549999</v>
      </c>
      <c r="Q143" s="7">
        <v>360701</v>
      </c>
    </row>
    <row r="144" spans="1:17" x14ac:dyDescent="0.25">
      <c r="A144" s="9">
        <v>45590</v>
      </c>
      <c r="B144" s="10" t="str">
        <f t="shared" si="2"/>
        <v>Oct</v>
      </c>
      <c r="C144" s="9" t="str">
        <f>TEXT(Table1[[#This Row],[Date ]],"dddd")</f>
        <v>Friday</v>
      </c>
      <c r="D144" s="9" t="str">
        <f>TEXT(Table1[[#This Row],[Date ]],"yyyy")</f>
        <v>2024</v>
      </c>
      <c r="E144" s="3" t="s">
        <v>14</v>
      </c>
      <c r="F144" s="3">
        <v>256</v>
      </c>
      <c r="G144" s="3">
        <v>257.95</v>
      </c>
      <c r="H144" s="3">
        <v>246.5</v>
      </c>
      <c r="I144" s="3">
        <v>254.3</v>
      </c>
      <c r="J144" s="3">
        <v>251.95</v>
      </c>
      <c r="K144" s="3">
        <v>253.8</v>
      </c>
      <c r="L144" s="3">
        <v>251.1</v>
      </c>
      <c r="M144" s="3">
        <v>298.25</v>
      </c>
      <c r="N144" s="3">
        <v>101.25</v>
      </c>
      <c r="O144" s="5">
        <v>66829144</v>
      </c>
      <c r="P144" s="6">
        <v>16780635163.75</v>
      </c>
      <c r="Q144" s="5">
        <v>397924</v>
      </c>
    </row>
    <row r="145" spans="1:17" x14ac:dyDescent="0.25">
      <c r="A145" s="10">
        <v>45593</v>
      </c>
      <c r="B145" s="10" t="str">
        <f t="shared" si="2"/>
        <v>Oct</v>
      </c>
      <c r="C145" s="10" t="str">
        <f>TEXT(Table1[[#This Row],[Date ]],"dddd")</f>
        <v>Monday</v>
      </c>
      <c r="D145" s="10" t="str">
        <f>TEXT(Table1[[#This Row],[Date ]],"yyyy")</f>
        <v>2024</v>
      </c>
      <c r="E145" s="4" t="s">
        <v>14</v>
      </c>
      <c r="F145" s="4">
        <v>252</v>
      </c>
      <c r="G145" s="4">
        <v>259.25</v>
      </c>
      <c r="H145" s="4">
        <v>247.1</v>
      </c>
      <c r="I145" s="4">
        <v>253.8</v>
      </c>
      <c r="J145" s="4">
        <v>254</v>
      </c>
      <c r="K145" s="4">
        <v>253.95</v>
      </c>
      <c r="L145" s="4">
        <v>253.65</v>
      </c>
      <c r="M145" s="4">
        <v>298.25</v>
      </c>
      <c r="N145" s="4">
        <v>103.25</v>
      </c>
      <c r="O145" s="7">
        <v>41028381</v>
      </c>
      <c r="P145" s="8">
        <v>10406819956.5</v>
      </c>
      <c r="Q145" s="7">
        <v>295087</v>
      </c>
    </row>
    <row r="146" spans="1:17" x14ac:dyDescent="0.25">
      <c r="A146" s="9">
        <v>45594</v>
      </c>
      <c r="B146" s="10" t="str">
        <f t="shared" si="2"/>
        <v>Oct</v>
      </c>
      <c r="C146" s="9" t="str">
        <f>TEXT(Table1[[#This Row],[Date ]],"dddd")</f>
        <v>Tuesday</v>
      </c>
      <c r="D146" s="9" t="str">
        <f>TEXT(Table1[[#This Row],[Date ]],"yyyy")</f>
        <v>2024</v>
      </c>
      <c r="E146" s="3" t="s">
        <v>14</v>
      </c>
      <c r="F146" s="3">
        <v>254.95</v>
      </c>
      <c r="G146" s="3">
        <v>255.9</v>
      </c>
      <c r="H146" s="3">
        <v>248.45</v>
      </c>
      <c r="I146" s="3">
        <v>253.95</v>
      </c>
      <c r="J146" s="3">
        <v>252</v>
      </c>
      <c r="K146" s="3">
        <v>252.25</v>
      </c>
      <c r="L146" s="3">
        <v>251.74</v>
      </c>
      <c r="M146" s="3">
        <v>298.25</v>
      </c>
      <c r="N146" s="3">
        <v>103.25</v>
      </c>
      <c r="O146" s="5">
        <v>30238688</v>
      </c>
      <c r="P146" s="6">
        <v>7612366021.5500002</v>
      </c>
      <c r="Q146" s="5">
        <v>192035</v>
      </c>
    </row>
    <row r="147" spans="1:17" x14ac:dyDescent="0.25">
      <c r="A147" s="10">
        <v>45595</v>
      </c>
      <c r="B147" s="10" t="str">
        <f t="shared" si="2"/>
        <v>Oct</v>
      </c>
      <c r="C147" s="10" t="str">
        <f>TEXT(Table1[[#This Row],[Date ]],"dddd")</f>
        <v>Wednesday</v>
      </c>
      <c r="D147" s="10" t="str">
        <f>TEXT(Table1[[#This Row],[Date ]],"yyyy")</f>
        <v>2024</v>
      </c>
      <c r="E147" s="4" t="s">
        <v>14</v>
      </c>
      <c r="F147" s="4">
        <v>249.15</v>
      </c>
      <c r="G147" s="4">
        <v>250.5</v>
      </c>
      <c r="H147" s="4">
        <v>245.05</v>
      </c>
      <c r="I147" s="4">
        <v>252.25</v>
      </c>
      <c r="J147" s="4">
        <v>247.9</v>
      </c>
      <c r="K147" s="4">
        <v>246.85</v>
      </c>
      <c r="L147" s="4">
        <v>247.35</v>
      </c>
      <c r="M147" s="4">
        <v>298.25</v>
      </c>
      <c r="N147" s="4">
        <v>103.25</v>
      </c>
      <c r="O147" s="7">
        <v>48399791</v>
      </c>
      <c r="P147" s="8">
        <v>11971528189.4</v>
      </c>
      <c r="Q147" s="7">
        <v>324390</v>
      </c>
    </row>
    <row r="148" spans="1:17" x14ac:dyDescent="0.25">
      <c r="A148" s="9">
        <v>45596</v>
      </c>
      <c r="B148" s="10" t="str">
        <f t="shared" si="2"/>
        <v>Oct</v>
      </c>
      <c r="C148" s="9" t="str">
        <f>TEXT(Table1[[#This Row],[Date ]],"dddd")</f>
        <v>Thursday</v>
      </c>
      <c r="D148" s="9" t="str">
        <f>TEXT(Table1[[#This Row],[Date ]],"yyyy")</f>
        <v>2024</v>
      </c>
      <c r="E148" s="3" t="s">
        <v>14</v>
      </c>
      <c r="F148" s="3">
        <v>248</v>
      </c>
      <c r="G148" s="3">
        <v>248.8</v>
      </c>
      <c r="H148" s="3">
        <v>240.4</v>
      </c>
      <c r="I148" s="3">
        <v>246.85</v>
      </c>
      <c r="J148" s="3">
        <v>241.5</v>
      </c>
      <c r="K148" s="3">
        <v>241.75</v>
      </c>
      <c r="L148" s="3">
        <v>243.94</v>
      </c>
      <c r="M148" s="3">
        <v>298.25</v>
      </c>
      <c r="N148" s="3">
        <v>103.25</v>
      </c>
      <c r="O148" s="5">
        <v>36737366</v>
      </c>
      <c r="P148" s="6">
        <v>8961842471.3500004</v>
      </c>
      <c r="Q148" s="5">
        <v>352991</v>
      </c>
    </row>
    <row r="149" spans="1:17" x14ac:dyDescent="0.25">
      <c r="A149" s="10">
        <v>45597</v>
      </c>
      <c r="B149" s="10" t="str">
        <f t="shared" si="2"/>
        <v>Nov</v>
      </c>
      <c r="C149" s="10" t="str">
        <f>TEXT(Table1[[#This Row],[Date ]],"dddd")</f>
        <v>Friday</v>
      </c>
      <c r="D149" s="10" t="str">
        <f>TEXT(Table1[[#This Row],[Date ]],"yyyy")</f>
        <v>2024</v>
      </c>
      <c r="E149" s="4" t="s">
        <v>14</v>
      </c>
      <c r="F149" s="4">
        <v>244.4</v>
      </c>
      <c r="G149" s="4">
        <v>250</v>
      </c>
      <c r="H149" s="4">
        <v>244.15</v>
      </c>
      <c r="I149" s="4">
        <v>241.75</v>
      </c>
      <c r="J149" s="4">
        <v>249.9</v>
      </c>
      <c r="K149" s="4">
        <v>248.99</v>
      </c>
      <c r="L149" s="4">
        <v>248.73</v>
      </c>
      <c r="M149" s="4">
        <v>298.25</v>
      </c>
      <c r="N149" s="4">
        <v>103.25</v>
      </c>
      <c r="O149" s="7">
        <v>13009914</v>
      </c>
      <c r="P149" s="8">
        <v>3235996942.1799998</v>
      </c>
      <c r="Q149" s="7">
        <v>139299</v>
      </c>
    </row>
    <row r="150" spans="1:17" x14ac:dyDescent="0.25">
      <c r="A150" s="9">
        <v>45600</v>
      </c>
      <c r="B150" s="10" t="str">
        <f t="shared" si="2"/>
        <v>Nov</v>
      </c>
      <c r="C150" s="9" t="str">
        <f>TEXT(Table1[[#This Row],[Date ]],"dddd")</f>
        <v>Monday</v>
      </c>
      <c r="D150" s="9" t="str">
        <f>TEXT(Table1[[#This Row],[Date ]],"yyyy")</f>
        <v>2024</v>
      </c>
      <c r="E150" s="3" t="s">
        <v>14</v>
      </c>
      <c r="F150" s="3">
        <v>242.93</v>
      </c>
      <c r="G150" s="3">
        <v>246.99</v>
      </c>
      <c r="H150" s="3">
        <v>240</v>
      </c>
      <c r="I150" s="3">
        <v>248.99</v>
      </c>
      <c r="J150" s="3">
        <v>244.25</v>
      </c>
      <c r="K150" s="3">
        <v>245.08</v>
      </c>
      <c r="L150" s="3">
        <v>242.95</v>
      </c>
      <c r="M150" s="3">
        <v>298.25</v>
      </c>
      <c r="N150" s="3">
        <v>112.5</v>
      </c>
      <c r="O150" s="5">
        <v>49186567</v>
      </c>
      <c r="P150" s="6">
        <v>11949909217.639999</v>
      </c>
      <c r="Q150" s="5">
        <v>461147</v>
      </c>
    </row>
    <row r="151" spans="1:17" x14ac:dyDescent="0.25">
      <c r="A151" s="10">
        <v>45601</v>
      </c>
      <c r="B151" s="10" t="str">
        <f t="shared" si="2"/>
        <v>Nov</v>
      </c>
      <c r="C151" s="10" t="str">
        <f>TEXT(Table1[[#This Row],[Date ]],"dddd")</f>
        <v>Tuesday</v>
      </c>
      <c r="D151" s="10" t="str">
        <f>TEXT(Table1[[#This Row],[Date ]],"yyyy")</f>
        <v>2024</v>
      </c>
      <c r="E151" s="4" t="s">
        <v>14</v>
      </c>
      <c r="F151" s="4">
        <v>244</v>
      </c>
      <c r="G151" s="4">
        <v>246.35</v>
      </c>
      <c r="H151" s="4">
        <v>239.45</v>
      </c>
      <c r="I151" s="4">
        <v>245.08</v>
      </c>
      <c r="J151" s="4">
        <v>241.4</v>
      </c>
      <c r="K151" s="4">
        <v>241.87</v>
      </c>
      <c r="L151" s="4">
        <v>242.15</v>
      </c>
      <c r="M151" s="4">
        <v>298.25</v>
      </c>
      <c r="N151" s="4">
        <v>112.5</v>
      </c>
      <c r="O151" s="7">
        <v>42081056</v>
      </c>
      <c r="P151" s="8">
        <v>10189771191.379999</v>
      </c>
      <c r="Q151" s="7">
        <v>280127</v>
      </c>
    </row>
    <row r="152" spans="1:17" x14ac:dyDescent="0.25">
      <c r="A152" s="9">
        <v>45602</v>
      </c>
      <c r="B152" s="10" t="str">
        <f t="shared" si="2"/>
        <v>Nov</v>
      </c>
      <c r="C152" s="9" t="str">
        <f>TEXT(Table1[[#This Row],[Date ]],"dddd")</f>
        <v>Wednesday</v>
      </c>
      <c r="D152" s="9" t="str">
        <f>TEXT(Table1[[#This Row],[Date ]],"yyyy")</f>
        <v>2024</v>
      </c>
      <c r="E152" s="3" t="s">
        <v>14</v>
      </c>
      <c r="F152" s="3">
        <v>243.3</v>
      </c>
      <c r="G152" s="3">
        <v>256.14</v>
      </c>
      <c r="H152" s="3">
        <v>243.3</v>
      </c>
      <c r="I152" s="3">
        <v>241.87</v>
      </c>
      <c r="J152" s="3">
        <v>255.8</v>
      </c>
      <c r="K152" s="3">
        <v>254.94</v>
      </c>
      <c r="L152" s="3">
        <v>251.48</v>
      </c>
      <c r="M152" s="3">
        <v>298.25</v>
      </c>
      <c r="N152" s="3">
        <v>112.5</v>
      </c>
      <c r="O152" s="5">
        <v>61727658</v>
      </c>
      <c r="P152" s="6">
        <v>15523294898.030001</v>
      </c>
      <c r="Q152" s="5">
        <v>444227</v>
      </c>
    </row>
    <row r="153" spans="1:17" x14ac:dyDescent="0.25">
      <c r="A153" s="10">
        <v>45603</v>
      </c>
      <c r="B153" s="10" t="str">
        <f t="shared" si="2"/>
        <v>Nov</v>
      </c>
      <c r="C153" s="10" t="str">
        <f>TEXT(Table1[[#This Row],[Date ]],"dddd")</f>
        <v>Thursday</v>
      </c>
      <c r="D153" s="10" t="str">
        <f>TEXT(Table1[[#This Row],[Date ]],"yyyy")</f>
        <v>2024</v>
      </c>
      <c r="E153" s="4" t="s">
        <v>14</v>
      </c>
      <c r="F153" s="4">
        <v>257</v>
      </c>
      <c r="G153" s="4">
        <v>262.45</v>
      </c>
      <c r="H153" s="4">
        <v>254</v>
      </c>
      <c r="I153" s="4">
        <v>254.94</v>
      </c>
      <c r="J153" s="4">
        <v>254.95</v>
      </c>
      <c r="K153" s="4">
        <v>255.22</v>
      </c>
      <c r="L153" s="4">
        <v>259.32</v>
      </c>
      <c r="M153" s="4">
        <v>298.25</v>
      </c>
      <c r="N153" s="4">
        <v>112.5</v>
      </c>
      <c r="O153" s="7">
        <v>56967827</v>
      </c>
      <c r="P153" s="8">
        <v>14772705756.08</v>
      </c>
      <c r="Q153" s="7">
        <v>377476</v>
      </c>
    </row>
    <row r="154" spans="1:17" x14ac:dyDescent="0.25">
      <c r="A154" s="9">
        <v>45604</v>
      </c>
      <c r="B154" s="10" t="str">
        <f t="shared" si="2"/>
        <v>Nov</v>
      </c>
      <c r="C154" s="9" t="str">
        <f>TEXT(Table1[[#This Row],[Date ]],"dddd")</f>
        <v>Friday</v>
      </c>
      <c r="D154" s="9" t="str">
        <f>TEXT(Table1[[#This Row],[Date ]],"yyyy")</f>
        <v>2024</v>
      </c>
      <c r="E154" s="3" t="s">
        <v>14</v>
      </c>
      <c r="F154" s="3">
        <v>256.2</v>
      </c>
      <c r="G154" s="3">
        <v>258.12</v>
      </c>
      <c r="H154" s="3">
        <v>245.9</v>
      </c>
      <c r="I154" s="3">
        <v>255.22</v>
      </c>
      <c r="J154" s="3">
        <v>247</v>
      </c>
      <c r="K154" s="3">
        <v>248.73</v>
      </c>
      <c r="L154" s="3">
        <v>252.4</v>
      </c>
      <c r="M154" s="3">
        <v>298.25</v>
      </c>
      <c r="N154" s="3">
        <v>112.5</v>
      </c>
      <c r="O154" s="5">
        <v>48676279</v>
      </c>
      <c r="P154" s="6">
        <v>12285735748.34</v>
      </c>
      <c r="Q154" s="5">
        <v>339520</v>
      </c>
    </row>
    <row r="155" spans="1:17" x14ac:dyDescent="0.25">
      <c r="A155" s="10">
        <v>45607</v>
      </c>
      <c r="B155" s="10" t="str">
        <f t="shared" si="2"/>
        <v>Nov</v>
      </c>
      <c r="C155" s="10" t="str">
        <f>TEXT(Table1[[#This Row],[Date ]],"dddd")</f>
        <v>Monday</v>
      </c>
      <c r="D155" s="10" t="str">
        <f>TEXT(Table1[[#This Row],[Date ]],"yyyy")</f>
        <v>2024</v>
      </c>
      <c r="E155" s="4" t="s">
        <v>14</v>
      </c>
      <c r="F155" s="4">
        <v>244.75</v>
      </c>
      <c r="G155" s="4">
        <v>259.5</v>
      </c>
      <c r="H155" s="4">
        <v>244</v>
      </c>
      <c r="I155" s="4">
        <v>248.73</v>
      </c>
      <c r="J155" s="4">
        <v>258</v>
      </c>
      <c r="K155" s="4">
        <v>258.62</v>
      </c>
      <c r="L155" s="4">
        <v>253.91</v>
      </c>
      <c r="M155" s="4">
        <v>298.25</v>
      </c>
      <c r="N155" s="4">
        <v>112.5</v>
      </c>
      <c r="O155" s="7">
        <v>43972581</v>
      </c>
      <c r="P155" s="8">
        <v>11165180664.16</v>
      </c>
      <c r="Q155" s="7">
        <v>334980</v>
      </c>
    </row>
    <row r="156" spans="1:17" x14ac:dyDescent="0.25">
      <c r="A156" s="9">
        <v>45608</v>
      </c>
      <c r="B156" s="10" t="str">
        <f t="shared" si="2"/>
        <v>Nov</v>
      </c>
      <c r="C156" s="9" t="str">
        <f>TEXT(Table1[[#This Row],[Date ]],"dddd")</f>
        <v>Tuesday</v>
      </c>
      <c r="D156" s="9" t="str">
        <f>TEXT(Table1[[#This Row],[Date ]],"yyyy")</f>
        <v>2024</v>
      </c>
      <c r="E156" s="3" t="s">
        <v>14</v>
      </c>
      <c r="F156" s="3">
        <v>259.95</v>
      </c>
      <c r="G156" s="3">
        <v>264.89999999999998</v>
      </c>
      <c r="H156" s="3">
        <v>255.3</v>
      </c>
      <c r="I156" s="3">
        <v>258.62</v>
      </c>
      <c r="J156" s="3">
        <v>258</v>
      </c>
      <c r="K156" s="3">
        <v>260.99</v>
      </c>
      <c r="L156" s="3">
        <v>259.92</v>
      </c>
      <c r="M156" s="3">
        <v>298.25</v>
      </c>
      <c r="N156" s="3">
        <v>112.5</v>
      </c>
      <c r="O156" s="5">
        <v>50975031</v>
      </c>
      <c r="P156" s="6">
        <v>13249571208.879999</v>
      </c>
      <c r="Q156" s="5">
        <v>358476</v>
      </c>
    </row>
    <row r="157" spans="1:17" x14ac:dyDescent="0.25">
      <c r="A157" s="10">
        <v>45609</v>
      </c>
      <c r="B157" s="10" t="str">
        <f t="shared" si="2"/>
        <v>Nov</v>
      </c>
      <c r="C157" s="10" t="str">
        <f>TEXT(Table1[[#This Row],[Date ]],"dddd")</f>
        <v>Wednesday</v>
      </c>
      <c r="D157" s="10" t="str">
        <f>TEXT(Table1[[#This Row],[Date ]],"yyyy")</f>
        <v>2024</v>
      </c>
      <c r="E157" s="4" t="s">
        <v>14</v>
      </c>
      <c r="F157" s="4">
        <v>258.08</v>
      </c>
      <c r="G157" s="4">
        <v>263.43</v>
      </c>
      <c r="H157" s="4">
        <v>254.53</v>
      </c>
      <c r="I157" s="4">
        <v>260.99</v>
      </c>
      <c r="J157" s="4">
        <v>259.02</v>
      </c>
      <c r="K157" s="4">
        <v>258.39999999999998</v>
      </c>
      <c r="L157" s="4">
        <v>259.08999999999997</v>
      </c>
      <c r="M157" s="4">
        <v>298.25</v>
      </c>
      <c r="N157" s="4">
        <v>112.5</v>
      </c>
      <c r="O157" s="7">
        <v>61475328</v>
      </c>
      <c r="P157" s="8">
        <v>15927703828.41</v>
      </c>
      <c r="Q157" s="7">
        <v>412687</v>
      </c>
    </row>
    <row r="158" spans="1:17" x14ac:dyDescent="0.25">
      <c r="A158" s="9">
        <v>45610</v>
      </c>
      <c r="B158" s="10" t="str">
        <f t="shared" si="2"/>
        <v>Nov</v>
      </c>
      <c r="C158" s="9" t="str">
        <f>TEXT(Table1[[#This Row],[Date ]],"dddd")</f>
        <v>Thursday</v>
      </c>
      <c r="D158" s="9" t="str">
        <f>TEXT(Table1[[#This Row],[Date ]],"yyyy")</f>
        <v>2024</v>
      </c>
      <c r="E158" s="3" t="s">
        <v>14</v>
      </c>
      <c r="F158" s="3">
        <v>261.5</v>
      </c>
      <c r="G158" s="3">
        <v>271</v>
      </c>
      <c r="H158" s="3">
        <v>260.7</v>
      </c>
      <c r="I158" s="3">
        <v>258.39999999999998</v>
      </c>
      <c r="J158" s="3">
        <v>269.70999999999998</v>
      </c>
      <c r="K158" s="3">
        <v>269.66000000000003</v>
      </c>
      <c r="L158" s="3">
        <v>267.5</v>
      </c>
      <c r="M158" s="3">
        <v>298.25</v>
      </c>
      <c r="N158" s="3">
        <v>112.5</v>
      </c>
      <c r="O158" s="5">
        <v>84971093</v>
      </c>
      <c r="P158" s="6">
        <v>22729916853.790001</v>
      </c>
      <c r="Q158" s="5">
        <v>511588</v>
      </c>
    </row>
    <row r="159" spans="1:17" x14ac:dyDescent="0.25">
      <c r="A159" s="10">
        <v>45614</v>
      </c>
      <c r="B159" s="10" t="str">
        <f t="shared" si="2"/>
        <v>Nov</v>
      </c>
      <c r="C159" s="10" t="str">
        <f>TEXT(Table1[[#This Row],[Date ]],"dddd")</f>
        <v>Monday</v>
      </c>
      <c r="D159" s="10" t="str">
        <f>TEXT(Table1[[#This Row],[Date ]],"yyyy")</f>
        <v>2024</v>
      </c>
      <c r="E159" s="4" t="s">
        <v>14</v>
      </c>
      <c r="F159" s="4">
        <v>274.3</v>
      </c>
      <c r="G159" s="4">
        <v>274.39999999999998</v>
      </c>
      <c r="H159" s="4">
        <v>269.36</v>
      </c>
      <c r="I159" s="4">
        <v>269.66000000000003</v>
      </c>
      <c r="J159" s="4">
        <v>270.3</v>
      </c>
      <c r="K159" s="4">
        <v>270.79000000000002</v>
      </c>
      <c r="L159" s="4">
        <v>270.88</v>
      </c>
      <c r="M159" s="4">
        <v>298.25</v>
      </c>
      <c r="N159" s="4">
        <v>112.5</v>
      </c>
      <c r="O159" s="7">
        <v>59799056</v>
      </c>
      <c r="P159" s="8">
        <v>16198510535.23</v>
      </c>
      <c r="Q159" s="7">
        <v>462191</v>
      </c>
    </row>
    <row r="160" spans="1:17" x14ac:dyDescent="0.25">
      <c r="A160" s="9">
        <v>45615</v>
      </c>
      <c r="B160" s="10" t="str">
        <f t="shared" si="2"/>
        <v>Nov</v>
      </c>
      <c r="C160" s="9" t="str">
        <f>TEXT(Table1[[#This Row],[Date ]],"dddd")</f>
        <v>Tuesday</v>
      </c>
      <c r="D160" s="9" t="str">
        <f>TEXT(Table1[[#This Row],[Date ]],"yyyy")</f>
        <v>2024</v>
      </c>
      <c r="E160" s="3" t="s">
        <v>14</v>
      </c>
      <c r="F160" s="3">
        <v>271.94</v>
      </c>
      <c r="G160" s="3">
        <v>272.7</v>
      </c>
      <c r="H160" s="3">
        <v>267.66000000000003</v>
      </c>
      <c r="I160" s="3">
        <v>270.79000000000002</v>
      </c>
      <c r="J160" s="3">
        <v>270.02</v>
      </c>
      <c r="K160" s="3">
        <v>271.36</v>
      </c>
      <c r="L160" s="3">
        <v>271.24</v>
      </c>
      <c r="M160" s="3">
        <v>298.25</v>
      </c>
      <c r="N160" s="3">
        <v>112.5</v>
      </c>
      <c r="O160" s="5">
        <v>42992794</v>
      </c>
      <c r="P160" s="6">
        <v>11661501717.459999</v>
      </c>
      <c r="Q160" s="5">
        <v>430431</v>
      </c>
    </row>
    <row r="161" spans="1:17" x14ac:dyDescent="0.25">
      <c r="A161" s="10">
        <v>45617</v>
      </c>
      <c r="B161" s="10" t="str">
        <f t="shared" si="2"/>
        <v>Nov</v>
      </c>
      <c r="C161" s="10" t="str">
        <f>TEXT(Table1[[#This Row],[Date ]],"dddd")</f>
        <v>Thursday</v>
      </c>
      <c r="D161" s="10" t="str">
        <f>TEXT(Table1[[#This Row],[Date ]],"yyyy")</f>
        <v>2024</v>
      </c>
      <c r="E161" s="4" t="s">
        <v>14</v>
      </c>
      <c r="F161" s="4">
        <v>273.7</v>
      </c>
      <c r="G161" s="4">
        <v>275.49</v>
      </c>
      <c r="H161" s="4">
        <v>262.11</v>
      </c>
      <c r="I161" s="4">
        <v>271.36</v>
      </c>
      <c r="J161" s="4">
        <v>265.35000000000002</v>
      </c>
      <c r="K161" s="4">
        <v>266.81</v>
      </c>
      <c r="L161" s="4">
        <v>267.92</v>
      </c>
      <c r="M161" s="4">
        <v>298.25</v>
      </c>
      <c r="N161" s="4">
        <v>112.5</v>
      </c>
      <c r="O161" s="7">
        <v>57742968</v>
      </c>
      <c r="P161" s="8">
        <v>15470275938.67</v>
      </c>
      <c r="Q161" s="7">
        <v>397135</v>
      </c>
    </row>
    <row r="162" spans="1:17" x14ac:dyDescent="0.25">
      <c r="A162" s="9">
        <v>45618</v>
      </c>
      <c r="B162" s="10" t="str">
        <f t="shared" si="2"/>
        <v>Nov</v>
      </c>
      <c r="C162" s="9" t="str">
        <f>TEXT(Table1[[#This Row],[Date ]],"dddd")</f>
        <v>Friday</v>
      </c>
      <c r="D162" s="9" t="str">
        <f>TEXT(Table1[[#This Row],[Date ]],"yyyy")</f>
        <v>2024</v>
      </c>
      <c r="E162" s="3" t="s">
        <v>14</v>
      </c>
      <c r="F162" s="3">
        <v>266.8</v>
      </c>
      <c r="G162" s="3">
        <v>268.99</v>
      </c>
      <c r="H162" s="3">
        <v>262.55</v>
      </c>
      <c r="I162" s="3">
        <v>266.81</v>
      </c>
      <c r="J162" s="3">
        <v>264.89</v>
      </c>
      <c r="K162" s="3">
        <v>264.2</v>
      </c>
      <c r="L162" s="3">
        <v>265.45999999999998</v>
      </c>
      <c r="M162" s="3">
        <v>298.25</v>
      </c>
      <c r="N162" s="3">
        <v>112.5</v>
      </c>
      <c r="O162" s="5">
        <v>26626294</v>
      </c>
      <c r="P162" s="6">
        <v>7068248084.4300003</v>
      </c>
      <c r="Q162" s="5">
        <v>331459</v>
      </c>
    </row>
    <row r="163" spans="1:17" x14ac:dyDescent="0.25">
      <c r="A163" s="10">
        <v>45621</v>
      </c>
      <c r="B163" s="10" t="str">
        <f t="shared" si="2"/>
        <v>Nov</v>
      </c>
      <c r="C163" s="10" t="str">
        <f>TEXT(Table1[[#This Row],[Date ]],"dddd")</f>
        <v>Monday</v>
      </c>
      <c r="D163" s="10" t="str">
        <f>TEXT(Table1[[#This Row],[Date ]],"yyyy")</f>
        <v>2024</v>
      </c>
      <c r="E163" s="4" t="s">
        <v>14</v>
      </c>
      <c r="F163" s="4">
        <v>273.25</v>
      </c>
      <c r="G163" s="4">
        <v>284.33999999999997</v>
      </c>
      <c r="H163" s="4">
        <v>271.17</v>
      </c>
      <c r="I163" s="4">
        <v>264.2</v>
      </c>
      <c r="J163" s="4">
        <v>272.89999999999998</v>
      </c>
      <c r="K163" s="4">
        <v>273.31</v>
      </c>
      <c r="L163" s="4">
        <v>278.17</v>
      </c>
      <c r="M163" s="4">
        <v>298.25</v>
      </c>
      <c r="N163" s="4">
        <v>113.5</v>
      </c>
      <c r="O163" s="7">
        <v>119525837</v>
      </c>
      <c r="P163" s="8">
        <v>33248766189.610001</v>
      </c>
      <c r="Q163" s="7">
        <v>580890</v>
      </c>
    </row>
    <row r="164" spans="1:17" x14ac:dyDescent="0.25">
      <c r="A164" s="9">
        <v>45622</v>
      </c>
      <c r="B164" s="10" t="str">
        <f t="shared" si="2"/>
        <v>Nov</v>
      </c>
      <c r="C164" s="9" t="str">
        <f>TEXT(Table1[[#This Row],[Date ]],"dddd")</f>
        <v>Tuesday</v>
      </c>
      <c r="D164" s="9" t="str">
        <f>TEXT(Table1[[#This Row],[Date ]],"yyyy")</f>
        <v>2024</v>
      </c>
      <c r="E164" s="3" t="s">
        <v>14</v>
      </c>
      <c r="F164" s="3">
        <v>273.8</v>
      </c>
      <c r="G164" s="3">
        <v>281.14</v>
      </c>
      <c r="H164" s="3">
        <v>272.61</v>
      </c>
      <c r="I164" s="3">
        <v>273.31</v>
      </c>
      <c r="J164" s="3">
        <v>280.20999999999998</v>
      </c>
      <c r="K164" s="3">
        <v>280.11</v>
      </c>
      <c r="L164" s="3">
        <v>277.47000000000003</v>
      </c>
      <c r="M164" s="3">
        <v>298.25</v>
      </c>
      <c r="N164" s="3">
        <v>113.5</v>
      </c>
      <c r="O164" s="5">
        <v>48373365</v>
      </c>
      <c r="P164" s="6">
        <v>13421959277.25</v>
      </c>
      <c r="Q164" s="5">
        <v>406042</v>
      </c>
    </row>
    <row r="165" spans="1:17" x14ac:dyDescent="0.25">
      <c r="A165" s="10">
        <v>45623</v>
      </c>
      <c r="B165" s="10" t="str">
        <f t="shared" si="2"/>
        <v>Nov</v>
      </c>
      <c r="C165" s="10" t="str">
        <f>TEXT(Table1[[#This Row],[Date ]],"dddd")</f>
        <v>Wednesday</v>
      </c>
      <c r="D165" s="10" t="str">
        <f>TEXT(Table1[[#This Row],[Date ]],"yyyy")</f>
        <v>2024</v>
      </c>
      <c r="E165" s="4" t="s">
        <v>14</v>
      </c>
      <c r="F165" s="4">
        <v>281</v>
      </c>
      <c r="G165" s="4">
        <v>289.7</v>
      </c>
      <c r="H165" s="4">
        <v>278.76</v>
      </c>
      <c r="I165" s="4">
        <v>280.11</v>
      </c>
      <c r="J165" s="4">
        <v>285.76</v>
      </c>
      <c r="K165" s="4">
        <v>284.72000000000003</v>
      </c>
      <c r="L165" s="4">
        <v>285.92</v>
      </c>
      <c r="M165" s="4">
        <v>298.25</v>
      </c>
      <c r="N165" s="4">
        <v>113.5</v>
      </c>
      <c r="O165" s="7">
        <v>66635986</v>
      </c>
      <c r="P165" s="8">
        <v>19052697014.240002</v>
      </c>
      <c r="Q165" s="7">
        <v>546387</v>
      </c>
    </row>
    <row r="166" spans="1:17" x14ac:dyDescent="0.25">
      <c r="A166" s="9">
        <v>45624</v>
      </c>
      <c r="B166" s="10" t="str">
        <f t="shared" si="2"/>
        <v>Nov</v>
      </c>
      <c r="C166" s="9" t="str">
        <f>TEXT(Table1[[#This Row],[Date ]],"dddd")</f>
        <v>Thursday</v>
      </c>
      <c r="D166" s="9" t="str">
        <f>TEXT(Table1[[#This Row],[Date ]],"yyyy")</f>
        <v>2024</v>
      </c>
      <c r="E166" s="3" t="s">
        <v>14</v>
      </c>
      <c r="F166" s="3">
        <v>285.60000000000002</v>
      </c>
      <c r="G166" s="3">
        <v>288.25</v>
      </c>
      <c r="H166" s="3">
        <v>281.43</v>
      </c>
      <c r="I166" s="3">
        <v>284.72000000000003</v>
      </c>
      <c r="J166" s="3">
        <v>285.2</v>
      </c>
      <c r="K166" s="3">
        <v>286.13</v>
      </c>
      <c r="L166" s="3">
        <v>285.18</v>
      </c>
      <c r="M166" s="3">
        <v>298.25</v>
      </c>
      <c r="N166" s="3">
        <v>113.5</v>
      </c>
      <c r="O166" s="5">
        <v>49584020</v>
      </c>
      <c r="P166" s="6">
        <v>14140283400.709999</v>
      </c>
      <c r="Q166" s="5">
        <v>368268</v>
      </c>
    </row>
    <row r="167" spans="1:17" x14ac:dyDescent="0.25">
      <c r="A167" s="10">
        <v>45625</v>
      </c>
      <c r="B167" s="10" t="str">
        <f t="shared" si="2"/>
        <v>Nov</v>
      </c>
      <c r="C167" s="10" t="str">
        <f>TEXT(Table1[[#This Row],[Date ]],"dddd")</f>
        <v>Friday</v>
      </c>
      <c r="D167" s="10" t="str">
        <f>TEXT(Table1[[#This Row],[Date ]],"yyyy")</f>
        <v>2024</v>
      </c>
      <c r="E167" s="4" t="s">
        <v>14</v>
      </c>
      <c r="F167" s="4">
        <v>285</v>
      </c>
      <c r="G167" s="4">
        <v>287.49</v>
      </c>
      <c r="H167" s="4">
        <v>273.62</v>
      </c>
      <c r="I167" s="4">
        <v>286.13</v>
      </c>
      <c r="J167" s="4">
        <v>279.39999999999998</v>
      </c>
      <c r="K167" s="4">
        <v>279.76</v>
      </c>
      <c r="L167" s="4">
        <v>280.56</v>
      </c>
      <c r="M167" s="4">
        <v>298.25</v>
      </c>
      <c r="N167" s="4">
        <v>113.5</v>
      </c>
      <c r="O167" s="7">
        <v>73433199</v>
      </c>
      <c r="P167" s="8">
        <v>20602697028.380001</v>
      </c>
      <c r="Q167" s="7">
        <v>440473</v>
      </c>
    </row>
    <row r="168" spans="1:17" x14ac:dyDescent="0.25">
      <c r="A168" s="9">
        <v>45628</v>
      </c>
      <c r="B168" s="10" t="str">
        <f t="shared" si="2"/>
        <v>Dec</v>
      </c>
      <c r="C168" s="9" t="str">
        <f>TEXT(Table1[[#This Row],[Date ]],"dddd")</f>
        <v>Monday</v>
      </c>
      <c r="D168" s="9" t="str">
        <f>TEXT(Table1[[#This Row],[Date ]],"yyyy")</f>
        <v>2024</v>
      </c>
      <c r="E168" s="3" t="s">
        <v>14</v>
      </c>
      <c r="F168" s="3">
        <v>281.89999999999998</v>
      </c>
      <c r="G168" s="3">
        <v>285.7</v>
      </c>
      <c r="H168" s="3">
        <v>280.45</v>
      </c>
      <c r="I168" s="3">
        <v>279.76</v>
      </c>
      <c r="J168" s="3">
        <v>282.85000000000002</v>
      </c>
      <c r="K168" s="3">
        <v>282.5</v>
      </c>
      <c r="L168" s="3">
        <v>283.32</v>
      </c>
      <c r="M168" s="3">
        <v>298.25</v>
      </c>
      <c r="N168" s="3">
        <v>114.15</v>
      </c>
      <c r="O168" s="5">
        <v>35170688</v>
      </c>
      <c r="P168" s="6">
        <v>9964537688.9500008</v>
      </c>
      <c r="Q168" s="5">
        <v>206586</v>
      </c>
    </row>
    <row r="169" spans="1:17" x14ac:dyDescent="0.25">
      <c r="A169" s="10">
        <v>45629</v>
      </c>
      <c r="B169" s="10" t="str">
        <f t="shared" si="2"/>
        <v>Dec</v>
      </c>
      <c r="C169" s="10" t="str">
        <f>TEXT(Table1[[#This Row],[Date ]],"dddd")</f>
        <v>Tuesday</v>
      </c>
      <c r="D169" s="10" t="str">
        <f>TEXT(Table1[[#This Row],[Date ]],"yyyy")</f>
        <v>2024</v>
      </c>
      <c r="E169" s="4" t="s">
        <v>14</v>
      </c>
      <c r="F169" s="4">
        <v>279.7</v>
      </c>
      <c r="G169" s="4">
        <v>282.35000000000002</v>
      </c>
      <c r="H169" s="4">
        <v>279</v>
      </c>
      <c r="I169" s="4">
        <v>282.5</v>
      </c>
      <c r="J169" s="4">
        <v>280</v>
      </c>
      <c r="K169" s="4">
        <v>279.85000000000002</v>
      </c>
      <c r="L169" s="4">
        <v>279.97000000000003</v>
      </c>
      <c r="M169" s="4">
        <v>298.25</v>
      </c>
      <c r="N169" s="4">
        <v>114.15</v>
      </c>
      <c r="O169" s="7">
        <v>30078648</v>
      </c>
      <c r="P169" s="8">
        <v>8421201473.9499998</v>
      </c>
      <c r="Q169" s="7">
        <v>180832</v>
      </c>
    </row>
    <row r="170" spans="1:17" x14ac:dyDescent="0.25">
      <c r="A170" s="9">
        <v>45630</v>
      </c>
      <c r="B170" s="10" t="str">
        <f t="shared" si="2"/>
        <v>Dec</v>
      </c>
      <c r="C170" s="9" t="str">
        <f>TEXT(Table1[[#This Row],[Date ]],"dddd")</f>
        <v>Wednesday</v>
      </c>
      <c r="D170" s="9" t="str">
        <f>TEXT(Table1[[#This Row],[Date ]],"yyyy")</f>
        <v>2024</v>
      </c>
      <c r="E170" s="3" t="s">
        <v>14</v>
      </c>
      <c r="F170" s="3">
        <v>283</v>
      </c>
      <c r="G170" s="3">
        <v>288</v>
      </c>
      <c r="H170" s="3">
        <v>283</v>
      </c>
      <c r="I170" s="3">
        <v>279.85000000000002</v>
      </c>
      <c r="J170" s="3">
        <v>286.2</v>
      </c>
      <c r="K170" s="3">
        <v>286.25</v>
      </c>
      <c r="L170" s="3">
        <v>285.79000000000002</v>
      </c>
      <c r="M170" s="3">
        <v>298.25</v>
      </c>
      <c r="N170" s="3">
        <v>114.15</v>
      </c>
      <c r="O170" s="5">
        <v>45520598</v>
      </c>
      <c r="P170" s="6">
        <v>13009527742.1</v>
      </c>
      <c r="Q170" s="5">
        <v>224068</v>
      </c>
    </row>
    <row r="171" spans="1:17" x14ac:dyDescent="0.25">
      <c r="A171" s="10">
        <v>45631</v>
      </c>
      <c r="B171" s="10" t="str">
        <f t="shared" si="2"/>
        <v>Dec</v>
      </c>
      <c r="C171" s="10" t="str">
        <f>TEXT(Table1[[#This Row],[Date ]],"dddd")</f>
        <v>Thursday</v>
      </c>
      <c r="D171" s="10" t="str">
        <f>TEXT(Table1[[#This Row],[Date ]],"yyyy")</f>
        <v>2024</v>
      </c>
      <c r="E171" s="4" t="s">
        <v>14</v>
      </c>
      <c r="F171" s="4">
        <v>288.25</v>
      </c>
      <c r="G171" s="4">
        <v>304.64999999999998</v>
      </c>
      <c r="H171" s="4">
        <v>286.85000000000002</v>
      </c>
      <c r="I171" s="4">
        <v>286.25</v>
      </c>
      <c r="J171" s="4">
        <v>299</v>
      </c>
      <c r="K171" s="4">
        <v>299.35000000000002</v>
      </c>
      <c r="L171" s="4">
        <v>298.17</v>
      </c>
      <c r="M171" s="4">
        <v>304.64999999999998</v>
      </c>
      <c r="N171" s="4">
        <v>114.15</v>
      </c>
      <c r="O171" s="7">
        <v>102148528</v>
      </c>
      <c r="P171" s="8">
        <v>30457699452.549999</v>
      </c>
      <c r="Q171" s="7">
        <v>533946</v>
      </c>
    </row>
    <row r="172" spans="1:17" x14ac:dyDescent="0.25">
      <c r="A172" s="9">
        <v>45632</v>
      </c>
      <c r="B172" s="10" t="str">
        <f t="shared" si="2"/>
        <v>Dec</v>
      </c>
      <c r="C172" s="9" t="str">
        <f>TEXT(Table1[[#This Row],[Date ]],"dddd")</f>
        <v>Friday</v>
      </c>
      <c r="D172" s="9" t="str">
        <f>TEXT(Table1[[#This Row],[Date ]],"yyyy")</f>
        <v>2024</v>
      </c>
      <c r="E172" s="3" t="s">
        <v>14</v>
      </c>
      <c r="F172" s="3">
        <v>300</v>
      </c>
      <c r="G172" s="3">
        <v>303.89999999999998</v>
      </c>
      <c r="H172" s="3">
        <v>296.25</v>
      </c>
      <c r="I172" s="3">
        <v>299.35000000000002</v>
      </c>
      <c r="J172" s="3">
        <v>302.45</v>
      </c>
      <c r="K172" s="3">
        <v>302.95</v>
      </c>
      <c r="L172" s="3">
        <v>300.19</v>
      </c>
      <c r="M172" s="3">
        <v>304.64999999999998</v>
      </c>
      <c r="N172" s="3">
        <v>114.15</v>
      </c>
      <c r="O172" s="5">
        <v>49309068</v>
      </c>
      <c r="P172" s="6">
        <v>14802061712.549999</v>
      </c>
      <c r="Q172" s="5">
        <v>287621</v>
      </c>
    </row>
    <row r="173" spans="1:17" x14ac:dyDescent="0.25">
      <c r="A173" s="10">
        <v>45635</v>
      </c>
      <c r="B173" s="10" t="str">
        <f t="shared" si="2"/>
        <v>Dec</v>
      </c>
      <c r="C173" s="10" t="str">
        <f>TEXT(Table1[[#This Row],[Date ]],"dddd")</f>
        <v>Monday</v>
      </c>
      <c r="D173" s="10" t="str">
        <f>TEXT(Table1[[#This Row],[Date ]],"yyyy")</f>
        <v>2024</v>
      </c>
      <c r="E173" s="4" t="s">
        <v>14</v>
      </c>
      <c r="F173" s="4">
        <v>304.7</v>
      </c>
      <c r="G173" s="4">
        <v>304.7</v>
      </c>
      <c r="H173" s="4">
        <v>291.8</v>
      </c>
      <c r="I173" s="4">
        <v>302.95</v>
      </c>
      <c r="J173" s="4">
        <v>295.7</v>
      </c>
      <c r="K173" s="4">
        <v>295.3</v>
      </c>
      <c r="L173" s="4">
        <v>297.23</v>
      </c>
      <c r="M173" s="4">
        <v>304.7</v>
      </c>
      <c r="N173" s="4">
        <v>114.15</v>
      </c>
      <c r="O173" s="7">
        <v>51131895</v>
      </c>
      <c r="P173" s="8">
        <v>15198071361.299999</v>
      </c>
      <c r="Q173" s="7">
        <v>335016</v>
      </c>
    </row>
    <row r="174" spans="1:17" x14ac:dyDescent="0.25">
      <c r="A174" s="9">
        <v>45636</v>
      </c>
      <c r="B174" s="10" t="str">
        <f t="shared" si="2"/>
        <v>Dec</v>
      </c>
      <c r="C174" s="9" t="str">
        <f>TEXT(Table1[[#This Row],[Date ]],"dddd")</f>
        <v>Tuesday</v>
      </c>
      <c r="D174" s="9" t="str">
        <f>TEXT(Table1[[#This Row],[Date ]],"yyyy")</f>
        <v>2024</v>
      </c>
      <c r="E174" s="3" t="s">
        <v>14</v>
      </c>
      <c r="F174" s="3">
        <v>296.75</v>
      </c>
      <c r="G174" s="3">
        <v>299.45</v>
      </c>
      <c r="H174" s="3">
        <v>295</v>
      </c>
      <c r="I174" s="3">
        <v>295.3</v>
      </c>
      <c r="J174" s="3">
        <v>296</v>
      </c>
      <c r="K174" s="3">
        <v>295.85000000000002</v>
      </c>
      <c r="L174" s="3">
        <v>296.75</v>
      </c>
      <c r="M174" s="3">
        <v>304.7</v>
      </c>
      <c r="N174" s="3">
        <v>114.15</v>
      </c>
      <c r="O174" s="5">
        <v>31333039</v>
      </c>
      <c r="P174" s="6">
        <v>9298135871.25</v>
      </c>
      <c r="Q174" s="5">
        <v>186888</v>
      </c>
    </row>
    <row r="175" spans="1:17" x14ac:dyDescent="0.25">
      <c r="A175" s="10">
        <v>45637</v>
      </c>
      <c r="B175" s="10" t="str">
        <f t="shared" si="2"/>
        <v>Dec</v>
      </c>
      <c r="C175" s="10" t="str">
        <f>TEXT(Table1[[#This Row],[Date ]],"dddd")</f>
        <v>Wednesday</v>
      </c>
      <c r="D175" s="10" t="str">
        <f>TEXT(Table1[[#This Row],[Date ]],"yyyy")</f>
        <v>2024</v>
      </c>
      <c r="E175" s="4" t="s">
        <v>14</v>
      </c>
      <c r="F175" s="4">
        <v>290</v>
      </c>
      <c r="G175" s="4">
        <v>294.3</v>
      </c>
      <c r="H175" s="4">
        <v>288.60000000000002</v>
      </c>
      <c r="I175" s="4">
        <v>295.85000000000002</v>
      </c>
      <c r="J175" s="4">
        <v>291.35000000000002</v>
      </c>
      <c r="K175" s="4">
        <v>291.8</v>
      </c>
      <c r="L175" s="4">
        <v>291.75</v>
      </c>
      <c r="M175" s="4">
        <v>304.7</v>
      </c>
      <c r="N175" s="4">
        <v>114.15</v>
      </c>
      <c r="O175" s="7">
        <v>39053928</v>
      </c>
      <c r="P175" s="8">
        <v>11394035363.15</v>
      </c>
      <c r="Q175" s="7">
        <v>263989</v>
      </c>
    </row>
    <row r="176" spans="1:17" x14ac:dyDescent="0.25">
      <c r="A176" s="9">
        <v>45638</v>
      </c>
      <c r="B176" s="10" t="str">
        <f t="shared" si="2"/>
        <v>Dec</v>
      </c>
      <c r="C176" s="9" t="str">
        <f>TEXT(Table1[[#This Row],[Date ]],"dddd")</f>
        <v>Thursday</v>
      </c>
      <c r="D176" s="9" t="str">
        <f>TEXT(Table1[[#This Row],[Date ]],"yyyy")</f>
        <v>2024</v>
      </c>
      <c r="E176" s="3" t="s">
        <v>14</v>
      </c>
      <c r="F176" s="3">
        <v>291.8</v>
      </c>
      <c r="G176" s="3">
        <v>295</v>
      </c>
      <c r="H176" s="3">
        <v>284.10000000000002</v>
      </c>
      <c r="I176" s="3">
        <v>291.8</v>
      </c>
      <c r="J176" s="3">
        <v>285.60000000000002</v>
      </c>
      <c r="K176" s="3">
        <v>284.89999999999998</v>
      </c>
      <c r="L176" s="3">
        <v>288.38</v>
      </c>
      <c r="M176" s="3">
        <v>304.7</v>
      </c>
      <c r="N176" s="3">
        <v>114.15</v>
      </c>
      <c r="O176" s="5">
        <v>38405304</v>
      </c>
      <c r="P176" s="6">
        <v>11075426051.549999</v>
      </c>
      <c r="Q176" s="5">
        <v>226353</v>
      </c>
    </row>
    <row r="177" spans="1:17" x14ac:dyDescent="0.25">
      <c r="A177" s="10">
        <v>45639</v>
      </c>
      <c r="B177" s="10" t="str">
        <f t="shared" si="2"/>
        <v>Dec</v>
      </c>
      <c r="C177" s="10" t="str">
        <f>TEXT(Table1[[#This Row],[Date ]],"dddd")</f>
        <v>Friday</v>
      </c>
      <c r="D177" s="10" t="str">
        <f>TEXT(Table1[[#This Row],[Date ]],"yyyy")</f>
        <v>2024</v>
      </c>
      <c r="E177" s="4" t="s">
        <v>14</v>
      </c>
      <c r="F177" s="4">
        <v>279</v>
      </c>
      <c r="G177" s="4">
        <v>288.95</v>
      </c>
      <c r="H177" s="4">
        <v>278.2</v>
      </c>
      <c r="I177" s="4">
        <v>284.89999999999998</v>
      </c>
      <c r="J177" s="4">
        <v>288.2</v>
      </c>
      <c r="K177" s="4">
        <v>288.25</v>
      </c>
      <c r="L177" s="4">
        <v>285.47000000000003</v>
      </c>
      <c r="M177" s="4">
        <v>304.7</v>
      </c>
      <c r="N177" s="4">
        <v>114.15</v>
      </c>
      <c r="O177" s="7">
        <v>47302705</v>
      </c>
      <c r="P177" s="8">
        <v>13503626756.450001</v>
      </c>
      <c r="Q177" s="7">
        <v>252192</v>
      </c>
    </row>
    <row r="178" spans="1:17" x14ac:dyDescent="0.25">
      <c r="A178" s="9">
        <v>45642</v>
      </c>
      <c r="B178" s="10" t="str">
        <f t="shared" si="2"/>
        <v>Dec</v>
      </c>
      <c r="C178" s="9" t="str">
        <f>TEXT(Table1[[#This Row],[Date ]],"dddd")</f>
        <v>Monday</v>
      </c>
      <c r="D178" s="9" t="str">
        <f>TEXT(Table1[[#This Row],[Date ]],"yyyy")</f>
        <v>2024</v>
      </c>
      <c r="E178" s="3" t="s">
        <v>14</v>
      </c>
      <c r="F178" s="3">
        <v>289</v>
      </c>
      <c r="G178" s="3">
        <v>295.89999999999998</v>
      </c>
      <c r="H178" s="3">
        <v>286.55</v>
      </c>
      <c r="I178" s="3">
        <v>288.25</v>
      </c>
      <c r="J178" s="3">
        <v>294.5</v>
      </c>
      <c r="K178" s="3">
        <v>294.14999999999998</v>
      </c>
      <c r="L178" s="3">
        <v>292.31</v>
      </c>
      <c r="M178" s="3">
        <v>304.7</v>
      </c>
      <c r="N178" s="3">
        <v>120.2</v>
      </c>
      <c r="O178" s="5">
        <v>31320679</v>
      </c>
      <c r="P178" s="6">
        <v>9155314800.5499992</v>
      </c>
      <c r="Q178" s="5">
        <v>205651</v>
      </c>
    </row>
    <row r="179" spans="1:17" x14ac:dyDescent="0.25">
      <c r="A179" s="10">
        <v>45643</v>
      </c>
      <c r="B179" s="10" t="str">
        <f t="shared" si="2"/>
        <v>Dec</v>
      </c>
      <c r="C179" s="10" t="str">
        <f>TEXT(Table1[[#This Row],[Date ]],"dddd")</f>
        <v>Tuesday</v>
      </c>
      <c r="D179" s="10" t="str">
        <f>TEXT(Table1[[#This Row],[Date ]],"yyyy")</f>
        <v>2024</v>
      </c>
      <c r="E179" s="4" t="s">
        <v>14</v>
      </c>
      <c r="F179" s="4">
        <v>295.5</v>
      </c>
      <c r="G179" s="4">
        <v>303.45</v>
      </c>
      <c r="H179" s="4">
        <v>292.3</v>
      </c>
      <c r="I179" s="4">
        <v>294.14999999999998</v>
      </c>
      <c r="J179" s="4">
        <v>295.7</v>
      </c>
      <c r="K179" s="4">
        <v>296.8</v>
      </c>
      <c r="L179" s="4">
        <v>299.16000000000003</v>
      </c>
      <c r="M179" s="4">
        <v>304.7</v>
      </c>
      <c r="N179" s="4">
        <v>120.2</v>
      </c>
      <c r="O179" s="7">
        <v>72724924</v>
      </c>
      <c r="P179" s="8">
        <v>21756652108.950001</v>
      </c>
      <c r="Q179" s="7">
        <v>360496</v>
      </c>
    </row>
    <row r="180" spans="1:17" x14ac:dyDescent="0.25">
      <c r="A180" s="9">
        <v>45644</v>
      </c>
      <c r="B180" s="10" t="str">
        <f t="shared" si="2"/>
        <v>Dec</v>
      </c>
      <c r="C180" s="9" t="str">
        <f>TEXT(Table1[[#This Row],[Date ]],"dddd")</f>
        <v>Wednesday</v>
      </c>
      <c r="D180" s="9" t="str">
        <f>TEXT(Table1[[#This Row],[Date ]],"yyyy")</f>
        <v>2024</v>
      </c>
      <c r="E180" s="3" t="s">
        <v>14</v>
      </c>
      <c r="F180" s="3">
        <v>297.7</v>
      </c>
      <c r="G180" s="3">
        <v>297.7</v>
      </c>
      <c r="H180" s="3">
        <v>290</v>
      </c>
      <c r="I180" s="3">
        <v>296.8</v>
      </c>
      <c r="J180" s="3">
        <v>292.5</v>
      </c>
      <c r="K180" s="3">
        <v>291.89999999999998</v>
      </c>
      <c r="L180" s="3">
        <v>293.04000000000002</v>
      </c>
      <c r="M180" s="3">
        <v>304.7</v>
      </c>
      <c r="N180" s="3">
        <v>120.2</v>
      </c>
      <c r="O180" s="5">
        <v>28348122</v>
      </c>
      <c r="P180" s="6">
        <v>8307145639.8000002</v>
      </c>
      <c r="Q180" s="5">
        <v>205891</v>
      </c>
    </row>
    <row r="181" spans="1:17" x14ac:dyDescent="0.25">
      <c r="A181" s="10">
        <v>45645</v>
      </c>
      <c r="B181" s="10" t="str">
        <f t="shared" si="2"/>
        <v>Dec</v>
      </c>
      <c r="C181" s="10" t="str">
        <f>TEXT(Table1[[#This Row],[Date ]],"dddd")</f>
        <v>Thursday</v>
      </c>
      <c r="D181" s="10" t="str">
        <f>TEXT(Table1[[#This Row],[Date ]],"yyyy")</f>
        <v>2024</v>
      </c>
      <c r="E181" s="4" t="s">
        <v>14</v>
      </c>
      <c r="F181" s="4">
        <v>288.05</v>
      </c>
      <c r="G181" s="4">
        <v>290.2</v>
      </c>
      <c r="H181" s="4">
        <v>284.7</v>
      </c>
      <c r="I181" s="4">
        <v>291.89999999999998</v>
      </c>
      <c r="J181" s="4">
        <v>289.2</v>
      </c>
      <c r="K181" s="4">
        <v>288.5</v>
      </c>
      <c r="L181" s="4">
        <v>287.49</v>
      </c>
      <c r="M181" s="4">
        <v>304.7</v>
      </c>
      <c r="N181" s="4">
        <v>120.2</v>
      </c>
      <c r="O181" s="7">
        <v>31350637</v>
      </c>
      <c r="P181" s="8">
        <v>9012855451.2999992</v>
      </c>
      <c r="Q181" s="7">
        <v>175217</v>
      </c>
    </row>
    <row r="182" spans="1:17" x14ac:dyDescent="0.25">
      <c r="A182" s="9">
        <v>45646</v>
      </c>
      <c r="B182" s="10" t="str">
        <f t="shared" si="2"/>
        <v>Dec</v>
      </c>
      <c r="C182" s="9" t="str">
        <f>TEXT(Table1[[#This Row],[Date ]],"dddd")</f>
        <v>Friday</v>
      </c>
      <c r="D182" s="9" t="str">
        <f>TEXT(Table1[[#This Row],[Date ]],"yyyy")</f>
        <v>2024</v>
      </c>
      <c r="E182" s="3" t="s">
        <v>14</v>
      </c>
      <c r="F182" s="3">
        <v>290</v>
      </c>
      <c r="G182" s="3">
        <v>290.5</v>
      </c>
      <c r="H182" s="3">
        <v>274.2</v>
      </c>
      <c r="I182" s="3">
        <v>288.5</v>
      </c>
      <c r="J182" s="3">
        <v>274.7</v>
      </c>
      <c r="K182" s="3">
        <v>282.10000000000002</v>
      </c>
      <c r="L182" s="3">
        <v>282.75</v>
      </c>
      <c r="M182" s="3">
        <v>304.7</v>
      </c>
      <c r="N182" s="3">
        <v>120.2</v>
      </c>
      <c r="O182" s="5">
        <v>271472990</v>
      </c>
      <c r="P182" s="6">
        <v>76758594846.850006</v>
      </c>
      <c r="Q182" s="5">
        <v>349641</v>
      </c>
    </row>
    <row r="183" spans="1:17" x14ac:dyDescent="0.25">
      <c r="A183" s="10">
        <v>45649</v>
      </c>
      <c r="B183" s="10" t="str">
        <f t="shared" si="2"/>
        <v>Dec</v>
      </c>
      <c r="C183" s="10" t="str">
        <f>TEXT(Table1[[#This Row],[Date ]],"dddd")</f>
        <v>Monday</v>
      </c>
      <c r="D183" s="10" t="str">
        <f>TEXT(Table1[[#This Row],[Date ]],"yyyy")</f>
        <v>2024</v>
      </c>
      <c r="E183" s="4" t="s">
        <v>14</v>
      </c>
      <c r="F183" s="4">
        <v>273.89999999999998</v>
      </c>
      <c r="G183" s="4">
        <v>282.89999999999998</v>
      </c>
      <c r="H183" s="4">
        <v>272</v>
      </c>
      <c r="I183" s="4">
        <v>282.10000000000002</v>
      </c>
      <c r="J183" s="4">
        <v>274.14999999999998</v>
      </c>
      <c r="K183" s="4">
        <v>273.95</v>
      </c>
      <c r="L183" s="4">
        <v>276.58999999999997</v>
      </c>
      <c r="M183" s="4">
        <v>304.7</v>
      </c>
      <c r="N183" s="4">
        <v>120.6</v>
      </c>
      <c r="O183" s="7">
        <v>74588008</v>
      </c>
      <c r="P183" s="8">
        <v>20630417591.299999</v>
      </c>
      <c r="Q183" s="7">
        <v>424843</v>
      </c>
    </row>
    <row r="184" spans="1:17" x14ac:dyDescent="0.25">
      <c r="A184" s="9">
        <v>45650</v>
      </c>
      <c r="B184" s="10" t="str">
        <f t="shared" si="2"/>
        <v>Dec</v>
      </c>
      <c r="C184" s="9" t="str">
        <f>TEXT(Table1[[#This Row],[Date ]],"dddd")</f>
        <v>Tuesday</v>
      </c>
      <c r="D184" s="9" t="str">
        <f>TEXT(Table1[[#This Row],[Date ]],"yyyy")</f>
        <v>2024</v>
      </c>
      <c r="E184" s="3" t="s">
        <v>14</v>
      </c>
      <c r="F184" s="3">
        <v>274.5</v>
      </c>
      <c r="G184" s="3">
        <v>277</v>
      </c>
      <c r="H184" s="3">
        <v>269.10000000000002</v>
      </c>
      <c r="I184" s="3">
        <v>273.95</v>
      </c>
      <c r="J184" s="3">
        <v>274.5</v>
      </c>
      <c r="K184" s="3">
        <v>274.85000000000002</v>
      </c>
      <c r="L184" s="3">
        <v>273.69</v>
      </c>
      <c r="M184" s="3">
        <v>304.7</v>
      </c>
      <c r="N184" s="3">
        <v>120.6</v>
      </c>
      <c r="O184" s="5">
        <v>37011994</v>
      </c>
      <c r="P184" s="6">
        <v>10129807929.35</v>
      </c>
      <c r="Q184" s="5">
        <v>230142</v>
      </c>
    </row>
    <row r="185" spans="1:17" x14ac:dyDescent="0.25">
      <c r="A185" s="10">
        <v>45652</v>
      </c>
      <c r="B185" s="10" t="str">
        <f t="shared" si="2"/>
        <v>Dec</v>
      </c>
      <c r="C185" s="10" t="str">
        <f>TEXT(Table1[[#This Row],[Date ]],"dddd")</f>
        <v>Thursday</v>
      </c>
      <c r="D185" s="10" t="str">
        <f>TEXT(Table1[[#This Row],[Date ]],"yyyy")</f>
        <v>2024</v>
      </c>
      <c r="E185" s="4" t="s">
        <v>14</v>
      </c>
      <c r="F185" s="4">
        <v>276.60000000000002</v>
      </c>
      <c r="G185" s="4">
        <v>276.8</v>
      </c>
      <c r="H185" s="4">
        <v>271.25</v>
      </c>
      <c r="I185" s="4">
        <v>274.85000000000002</v>
      </c>
      <c r="J185" s="4">
        <v>272.8</v>
      </c>
      <c r="K185" s="4">
        <v>273.2</v>
      </c>
      <c r="L185" s="4">
        <v>273.18</v>
      </c>
      <c r="M185" s="4">
        <v>304.7</v>
      </c>
      <c r="N185" s="4">
        <v>120.6</v>
      </c>
      <c r="O185" s="7">
        <v>26031760</v>
      </c>
      <c r="P185" s="8">
        <v>7111430329.6000004</v>
      </c>
      <c r="Q185" s="7">
        <v>285197</v>
      </c>
    </row>
    <row r="186" spans="1:17" x14ac:dyDescent="0.25">
      <c r="A186" s="9">
        <v>45653</v>
      </c>
      <c r="B186" s="10" t="str">
        <f t="shared" si="2"/>
        <v>Dec</v>
      </c>
      <c r="C186" s="9" t="str">
        <f>TEXT(Table1[[#This Row],[Date ]],"dddd")</f>
        <v>Friday</v>
      </c>
      <c r="D186" s="9" t="str">
        <f>TEXT(Table1[[#This Row],[Date ]],"yyyy")</f>
        <v>2024</v>
      </c>
      <c r="E186" s="3" t="s">
        <v>14</v>
      </c>
      <c r="F186" s="3">
        <v>274.89999999999998</v>
      </c>
      <c r="G186" s="3">
        <v>275.89999999999998</v>
      </c>
      <c r="H186" s="3">
        <v>269.75</v>
      </c>
      <c r="I186" s="3">
        <v>273.2</v>
      </c>
      <c r="J186" s="3">
        <v>271.45</v>
      </c>
      <c r="K186" s="3">
        <v>271.25</v>
      </c>
      <c r="L186" s="3">
        <v>272.16000000000003</v>
      </c>
      <c r="M186" s="3">
        <v>304.7</v>
      </c>
      <c r="N186" s="3">
        <v>120.6</v>
      </c>
      <c r="O186" s="5">
        <v>18997843</v>
      </c>
      <c r="P186" s="6">
        <v>5170411527.8999996</v>
      </c>
      <c r="Q186" s="5">
        <v>124319</v>
      </c>
    </row>
    <row r="187" spans="1:17" x14ac:dyDescent="0.25">
      <c r="A187" s="10">
        <v>45656</v>
      </c>
      <c r="B187" s="10" t="str">
        <f t="shared" si="2"/>
        <v>Dec</v>
      </c>
      <c r="C187" s="10" t="str">
        <f>TEXT(Table1[[#This Row],[Date ]],"dddd")</f>
        <v>Monday</v>
      </c>
      <c r="D187" s="10" t="str">
        <f>TEXT(Table1[[#This Row],[Date ]],"yyyy")</f>
        <v>2024</v>
      </c>
      <c r="E187" s="4" t="s">
        <v>14</v>
      </c>
      <c r="F187" s="4">
        <v>271.25</v>
      </c>
      <c r="G187" s="4">
        <v>291.60000000000002</v>
      </c>
      <c r="H187" s="4">
        <v>269.8</v>
      </c>
      <c r="I187" s="4">
        <v>271.25</v>
      </c>
      <c r="J187" s="4">
        <v>279.7</v>
      </c>
      <c r="K187" s="4">
        <v>282.10000000000002</v>
      </c>
      <c r="L187" s="4">
        <v>280.79000000000002</v>
      </c>
      <c r="M187" s="4">
        <v>304.7</v>
      </c>
      <c r="N187" s="4">
        <v>121.6</v>
      </c>
      <c r="O187" s="7">
        <v>143568542</v>
      </c>
      <c r="P187" s="8">
        <v>40311970049.150002</v>
      </c>
      <c r="Q187" s="7">
        <v>331310</v>
      </c>
    </row>
    <row r="188" spans="1:17" x14ac:dyDescent="0.25">
      <c r="A188" s="9">
        <v>45657</v>
      </c>
      <c r="B188" s="10" t="str">
        <f t="shared" si="2"/>
        <v>Dec</v>
      </c>
      <c r="C188" s="9" t="str">
        <f>TEXT(Table1[[#This Row],[Date ]],"dddd")</f>
        <v>Tuesday</v>
      </c>
      <c r="D188" s="9" t="str">
        <f>TEXT(Table1[[#This Row],[Date ]],"yyyy")</f>
        <v>2024</v>
      </c>
      <c r="E188" s="3" t="s">
        <v>14</v>
      </c>
      <c r="F188" s="3">
        <v>278</v>
      </c>
      <c r="G188" s="3">
        <v>281.60000000000002</v>
      </c>
      <c r="H188" s="3">
        <v>275</v>
      </c>
      <c r="I188" s="3">
        <v>282.10000000000002</v>
      </c>
      <c r="J188" s="3">
        <v>277.95</v>
      </c>
      <c r="K188" s="3">
        <v>278.05</v>
      </c>
      <c r="L188" s="3">
        <v>278.36</v>
      </c>
      <c r="M188" s="3">
        <v>304.7</v>
      </c>
      <c r="N188" s="3">
        <v>121.6</v>
      </c>
      <c r="O188" s="5">
        <v>31925776</v>
      </c>
      <c r="P188" s="6">
        <v>8886951045.7000008</v>
      </c>
      <c r="Q188" s="5">
        <v>173514</v>
      </c>
    </row>
    <row r="189" spans="1:17" x14ac:dyDescent="0.25">
      <c r="A189" s="10">
        <v>45658</v>
      </c>
      <c r="B189" s="10" t="str">
        <f t="shared" si="2"/>
        <v>Jan</v>
      </c>
      <c r="C189" s="10" t="str">
        <f>TEXT(Table1[[#This Row],[Date ]],"dddd")</f>
        <v>Wednesday</v>
      </c>
      <c r="D189" s="10" t="str">
        <f>TEXT(Table1[[#This Row],[Date ]],"yyyy")</f>
        <v>2025</v>
      </c>
      <c r="E189" s="4" t="s">
        <v>14</v>
      </c>
      <c r="F189" s="4">
        <v>279</v>
      </c>
      <c r="G189" s="4">
        <v>279.10000000000002</v>
      </c>
      <c r="H189" s="4">
        <v>276</v>
      </c>
      <c r="I189" s="4">
        <v>278.05</v>
      </c>
      <c r="J189" s="4">
        <v>276.85000000000002</v>
      </c>
      <c r="K189" s="4">
        <v>276.5</v>
      </c>
      <c r="L189" s="4">
        <v>277.22000000000003</v>
      </c>
      <c r="M189" s="4">
        <v>304.7</v>
      </c>
      <c r="N189" s="4">
        <v>121.6</v>
      </c>
      <c r="O189" s="7">
        <v>14417581</v>
      </c>
      <c r="P189" s="8">
        <v>3996775364.8000002</v>
      </c>
      <c r="Q189" s="7">
        <v>98016</v>
      </c>
    </row>
    <row r="190" spans="1:17" x14ac:dyDescent="0.25">
      <c r="A190" s="9">
        <v>45659</v>
      </c>
      <c r="B190" s="10" t="str">
        <f t="shared" si="2"/>
        <v>Jan</v>
      </c>
      <c r="C190" s="9" t="str">
        <f>TEXT(Table1[[#This Row],[Date ]],"dddd")</f>
        <v>Thursday</v>
      </c>
      <c r="D190" s="9" t="str">
        <f>TEXT(Table1[[#This Row],[Date ]],"yyyy")</f>
        <v>2025</v>
      </c>
      <c r="E190" s="3" t="s">
        <v>14</v>
      </c>
      <c r="F190" s="3">
        <v>277.89999999999998</v>
      </c>
      <c r="G190" s="3">
        <v>286</v>
      </c>
      <c r="H190" s="3">
        <v>276</v>
      </c>
      <c r="I190" s="3">
        <v>276.5</v>
      </c>
      <c r="J190" s="3">
        <v>285.35000000000002</v>
      </c>
      <c r="K190" s="3">
        <v>284.60000000000002</v>
      </c>
      <c r="L190" s="3">
        <v>280.70999999999998</v>
      </c>
      <c r="M190" s="3">
        <v>304.7</v>
      </c>
      <c r="N190" s="3">
        <v>121.6</v>
      </c>
      <c r="O190" s="5">
        <v>27949423</v>
      </c>
      <c r="P190" s="6">
        <v>7845619626.3999996</v>
      </c>
      <c r="Q190" s="5">
        <v>154300</v>
      </c>
    </row>
    <row r="191" spans="1:17" x14ac:dyDescent="0.25">
      <c r="A191" s="10">
        <v>45660</v>
      </c>
      <c r="B191" s="10" t="str">
        <f t="shared" si="2"/>
        <v>Jan</v>
      </c>
      <c r="C191" s="10" t="str">
        <f>TEXT(Table1[[#This Row],[Date ]],"dddd")</f>
        <v>Friday</v>
      </c>
      <c r="D191" s="10" t="str">
        <f>TEXT(Table1[[#This Row],[Date ]],"yyyy")</f>
        <v>2025</v>
      </c>
      <c r="E191" s="4" t="s">
        <v>14</v>
      </c>
      <c r="F191" s="4">
        <v>285</v>
      </c>
      <c r="G191" s="4">
        <v>285</v>
      </c>
      <c r="H191" s="4">
        <v>271.5</v>
      </c>
      <c r="I191" s="4">
        <v>284.60000000000002</v>
      </c>
      <c r="J191" s="4">
        <v>272.55</v>
      </c>
      <c r="K191" s="4">
        <v>272.85000000000002</v>
      </c>
      <c r="L191" s="4">
        <v>277.58</v>
      </c>
      <c r="M191" s="4">
        <v>304.7</v>
      </c>
      <c r="N191" s="4">
        <v>121.6</v>
      </c>
      <c r="O191" s="7">
        <v>48244937</v>
      </c>
      <c r="P191" s="8">
        <v>13391845447.799999</v>
      </c>
      <c r="Q191" s="7">
        <v>263260</v>
      </c>
    </row>
    <row r="192" spans="1:17" x14ac:dyDescent="0.25">
      <c r="A192" s="9">
        <v>45663</v>
      </c>
      <c r="B192" s="10" t="str">
        <f t="shared" si="2"/>
        <v>Jan</v>
      </c>
      <c r="C192" s="9" t="str">
        <f>TEXT(Table1[[#This Row],[Date ]],"dddd")</f>
        <v>Monday</v>
      </c>
      <c r="D192" s="9" t="str">
        <f>TEXT(Table1[[#This Row],[Date ]],"yyyy")</f>
        <v>2025</v>
      </c>
      <c r="E192" s="3" t="s">
        <v>14</v>
      </c>
      <c r="F192" s="3">
        <v>274.5</v>
      </c>
      <c r="G192" s="3">
        <v>274.8</v>
      </c>
      <c r="H192" s="3">
        <v>262.2</v>
      </c>
      <c r="I192" s="3">
        <v>272.85000000000002</v>
      </c>
      <c r="J192" s="3">
        <v>264.60000000000002</v>
      </c>
      <c r="K192" s="3">
        <v>264.85000000000002</v>
      </c>
      <c r="L192" s="3">
        <v>268.20999999999998</v>
      </c>
      <c r="M192" s="3">
        <v>304.7</v>
      </c>
      <c r="N192" s="3">
        <v>121.6</v>
      </c>
      <c r="O192" s="5">
        <v>52254616</v>
      </c>
      <c r="P192" s="6">
        <v>14015115050.549999</v>
      </c>
      <c r="Q192" s="5">
        <v>356388</v>
      </c>
    </row>
    <row r="193" spans="1:17" x14ac:dyDescent="0.25">
      <c r="A193" s="10">
        <v>45664</v>
      </c>
      <c r="B193" s="10" t="str">
        <f t="shared" si="2"/>
        <v>Jan</v>
      </c>
      <c r="C193" s="10" t="str">
        <f>TEXT(Table1[[#This Row],[Date ]],"dddd")</f>
        <v>Tuesday</v>
      </c>
      <c r="D193" s="10" t="str">
        <f>TEXT(Table1[[#This Row],[Date ]],"yyyy")</f>
        <v>2025</v>
      </c>
      <c r="E193" s="4" t="s">
        <v>14</v>
      </c>
      <c r="F193" s="4">
        <v>256.95</v>
      </c>
      <c r="G193" s="4">
        <v>259.2</v>
      </c>
      <c r="H193" s="4">
        <v>251</v>
      </c>
      <c r="I193" s="4">
        <v>264.85000000000002</v>
      </c>
      <c r="J193" s="4">
        <v>251.75</v>
      </c>
      <c r="K193" s="4">
        <v>252.45</v>
      </c>
      <c r="L193" s="4">
        <v>253.95</v>
      </c>
      <c r="M193" s="4">
        <v>304.7</v>
      </c>
      <c r="N193" s="4">
        <v>121.6</v>
      </c>
      <c r="O193" s="7">
        <v>115216965</v>
      </c>
      <c r="P193" s="8">
        <v>29259384237.900002</v>
      </c>
      <c r="Q193" s="7">
        <v>604528</v>
      </c>
    </row>
    <row r="194" spans="1:17" x14ac:dyDescent="0.25">
      <c r="A194" s="9">
        <v>45665</v>
      </c>
      <c r="B194" s="10" t="str">
        <f t="shared" ref="B194:B250" si="3">TEXT(A194,"mmm")</f>
        <v>Jan</v>
      </c>
      <c r="C194" s="9" t="str">
        <f>TEXT(Table1[[#This Row],[Date ]],"dddd")</f>
        <v>Wednesday</v>
      </c>
      <c r="D194" s="9" t="str">
        <f>TEXT(Table1[[#This Row],[Date ]],"yyyy")</f>
        <v>2025</v>
      </c>
      <c r="E194" s="3" t="s">
        <v>14</v>
      </c>
      <c r="F194" s="3">
        <v>251.7</v>
      </c>
      <c r="G194" s="3">
        <v>252.75</v>
      </c>
      <c r="H194" s="3">
        <v>244.35</v>
      </c>
      <c r="I194" s="3">
        <v>252.45</v>
      </c>
      <c r="J194" s="3">
        <v>249.65</v>
      </c>
      <c r="K194" s="3">
        <v>250.05</v>
      </c>
      <c r="L194" s="3">
        <v>247.6</v>
      </c>
      <c r="M194" s="3">
        <v>304.7</v>
      </c>
      <c r="N194" s="3">
        <v>121.6</v>
      </c>
      <c r="O194" s="5">
        <v>57146621</v>
      </c>
      <c r="P194" s="6">
        <v>14149250317</v>
      </c>
      <c r="Q194" s="5">
        <v>345608</v>
      </c>
    </row>
    <row r="195" spans="1:17" x14ac:dyDescent="0.25">
      <c r="A195" s="10">
        <v>45666</v>
      </c>
      <c r="B195" s="10" t="str">
        <f t="shared" si="3"/>
        <v>Jan</v>
      </c>
      <c r="C195" s="10" t="str">
        <f>TEXT(Table1[[#This Row],[Date ]],"dddd")</f>
        <v>Thursday</v>
      </c>
      <c r="D195" s="10" t="str">
        <f>TEXT(Table1[[#This Row],[Date ]],"yyyy")</f>
        <v>2025</v>
      </c>
      <c r="E195" s="4" t="s">
        <v>14</v>
      </c>
      <c r="F195" s="4">
        <v>251.6</v>
      </c>
      <c r="G195" s="4">
        <v>252.55</v>
      </c>
      <c r="H195" s="4">
        <v>244.55</v>
      </c>
      <c r="I195" s="4">
        <v>250.05</v>
      </c>
      <c r="J195" s="4">
        <v>244.95</v>
      </c>
      <c r="K195" s="4">
        <v>245.35</v>
      </c>
      <c r="L195" s="4">
        <v>248.06</v>
      </c>
      <c r="M195" s="4">
        <v>304.7</v>
      </c>
      <c r="N195" s="4">
        <v>121.6</v>
      </c>
      <c r="O195" s="7">
        <v>49569418</v>
      </c>
      <c r="P195" s="8">
        <v>12296259566.049999</v>
      </c>
      <c r="Q195" s="7">
        <v>272369</v>
      </c>
    </row>
    <row r="196" spans="1:17" x14ac:dyDescent="0.25">
      <c r="A196" s="9">
        <v>45667</v>
      </c>
      <c r="B196" s="10" t="str">
        <f t="shared" si="3"/>
        <v>Jan</v>
      </c>
      <c r="C196" s="9" t="str">
        <f>TEXT(Table1[[#This Row],[Date ]],"dddd")</f>
        <v>Friday</v>
      </c>
      <c r="D196" s="9" t="str">
        <f>TEXT(Table1[[#This Row],[Date ]],"yyyy")</f>
        <v>2025</v>
      </c>
      <c r="E196" s="3" t="s">
        <v>14</v>
      </c>
      <c r="F196" s="3">
        <v>244.9</v>
      </c>
      <c r="G196" s="3">
        <v>246.4</v>
      </c>
      <c r="H196" s="3">
        <v>237.45</v>
      </c>
      <c r="I196" s="3">
        <v>245.35</v>
      </c>
      <c r="J196" s="3">
        <v>243.25</v>
      </c>
      <c r="K196" s="3">
        <v>242.95</v>
      </c>
      <c r="L196" s="3">
        <v>242.44</v>
      </c>
      <c r="M196" s="3">
        <v>304.7</v>
      </c>
      <c r="N196" s="3">
        <v>121.6</v>
      </c>
      <c r="O196" s="5">
        <v>53817888</v>
      </c>
      <c r="P196" s="6">
        <v>13047780162.799999</v>
      </c>
      <c r="Q196" s="5">
        <v>314401</v>
      </c>
    </row>
    <row r="197" spans="1:17" x14ac:dyDescent="0.25">
      <c r="A197" s="10">
        <v>45670</v>
      </c>
      <c r="B197" s="10" t="str">
        <f t="shared" si="3"/>
        <v>Jan</v>
      </c>
      <c r="C197" s="10" t="str">
        <f>TEXT(Table1[[#This Row],[Date ]],"dddd")</f>
        <v>Monday</v>
      </c>
      <c r="D197" s="10" t="str">
        <f>TEXT(Table1[[#This Row],[Date ]],"yyyy")</f>
        <v>2025</v>
      </c>
      <c r="E197" s="4" t="s">
        <v>14</v>
      </c>
      <c r="F197" s="4">
        <v>240</v>
      </c>
      <c r="G197" s="4">
        <v>240.4</v>
      </c>
      <c r="H197" s="4">
        <v>226.2</v>
      </c>
      <c r="I197" s="4">
        <v>242.95</v>
      </c>
      <c r="J197" s="4">
        <v>228</v>
      </c>
      <c r="K197" s="4">
        <v>227.15</v>
      </c>
      <c r="L197" s="4">
        <v>231.71</v>
      </c>
      <c r="M197" s="4">
        <v>304.7</v>
      </c>
      <c r="N197" s="4">
        <v>121.6</v>
      </c>
      <c r="O197" s="7">
        <v>69081908</v>
      </c>
      <c r="P197" s="8">
        <v>16006722260.299999</v>
      </c>
      <c r="Q197" s="7">
        <v>394376</v>
      </c>
    </row>
    <row r="198" spans="1:17" x14ac:dyDescent="0.25">
      <c r="A198" s="9">
        <v>45671</v>
      </c>
      <c r="B198" s="10" t="str">
        <f t="shared" si="3"/>
        <v>Jan</v>
      </c>
      <c r="C198" s="9" t="str">
        <f>TEXT(Table1[[#This Row],[Date ]],"dddd")</f>
        <v>Tuesday</v>
      </c>
      <c r="D198" s="9" t="str">
        <f>TEXT(Table1[[#This Row],[Date ]],"yyyy")</f>
        <v>2025</v>
      </c>
      <c r="E198" s="3" t="s">
        <v>14</v>
      </c>
      <c r="F198" s="3">
        <v>233.95</v>
      </c>
      <c r="G198" s="3">
        <v>237.6</v>
      </c>
      <c r="H198" s="3">
        <v>230</v>
      </c>
      <c r="I198" s="3">
        <v>227.15</v>
      </c>
      <c r="J198" s="3">
        <v>234.75</v>
      </c>
      <c r="K198" s="3">
        <v>233.6</v>
      </c>
      <c r="L198" s="3">
        <v>234.61</v>
      </c>
      <c r="M198" s="3">
        <v>304.7</v>
      </c>
      <c r="N198" s="3">
        <v>121.6</v>
      </c>
      <c r="O198" s="5">
        <v>85363264</v>
      </c>
      <c r="P198" s="6">
        <v>20027451955</v>
      </c>
      <c r="Q198" s="5">
        <v>380056</v>
      </c>
    </row>
    <row r="199" spans="1:17" x14ac:dyDescent="0.25">
      <c r="A199" s="10">
        <v>45672</v>
      </c>
      <c r="B199" s="10" t="str">
        <f t="shared" si="3"/>
        <v>Jan</v>
      </c>
      <c r="C199" s="10" t="str">
        <f>TEXT(Table1[[#This Row],[Date ]],"dddd")</f>
        <v>Wednesday</v>
      </c>
      <c r="D199" s="10" t="str">
        <f>TEXT(Table1[[#This Row],[Date ]],"yyyy")</f>
        <v>2025</v>
      </c>
      <c r="E199" s="4" t="s">
        <v>14</v>
      </c>
      <c r="F199" s="4">
        <v>235</v>
      </c>
      <c r="G199" s="4">
        <v>246</v>
      </c>
      <c r="H199" s="4">
        <v>235</v>
      </c>
      <c r="I199" s="4">
        <v>233.6</v>
      </c>
      <c r="J199" s="4">
        <v>245.7</v>
      </c>
      <c r="K199" s="4">
        <v>243.9</v>
      </c>
      <c r="L199" s="4">
        <v>241.69</v>
      </c>
      <c r="M199" s="4">
        <v>304.7</v>
      </c>
      <c r="N199" s="4">
        <v>121.6</v>
      </c>
      <c r="O199" s="7">
        <v>65921349</v>
      </c>
      <c r="P199" s="8">
        <v>15932456932.25</v>
      </c>
      <c r="Q199" s="7">
        <v>353117</v>
      </c>
    </row>
    <row r="200" spans="1:17" x14ac:dyDescent="0.25">
      <c r="A200" s="9">
        <v>45673</v>
      </c>
      <c r="B200" s="10" t="str">
        <f t="shared" si="3"/>
        <v>Jan</v>
      </c>
      <c r="C200" s="9" t="str">
        <f>TEXT(Table1[[#This Row],[Date ]],"dddd")</f>
        <v>Thursday</v>
      </c>
      <c r="D200" s="9" t="str">
        <f>TEXT(Table1[[#This Row],[Date ]],"yyyy")</f>
        <v>2025</v>
      </c>
      <c r="E200" s="3" t="s">
        <v>14</v>
      </c>
      <c r="F200" s="3">
        <v>250</v>
      </c>
      <c r="G200" s="3">
        <v>262</v>
      </c>
      <c r="H200" s="3">
        <v>241</v>
      </c>
      <c r="I200" s="3">
        <v>243.9</v>
      </c>
      <c r="J200" s="3">
        <v>243.85</v>
      </c>
      <c r="K200" s="3">
        <v>241.9</v>
      </c>
      <c r="L200" s="3">
        <v>247.02</v>
      </c>
      <c r="M200" s="3">
        <v>304.7</v>
      </c>
      <c r="N200" s="3">
        <v>121.6</v>
      </c>
      <c r="O200" s="5">
        <v>69621318</v>
      </c>
      <c r="P200" s="6">
        <v>17197727806.25</v>
      </c>
      <c r="Q200" s="5">
        <v>367498</v>
      </c>
    </row>
    <row r="201" spans="1:17" x14ac:dyDescent="0.25">
      <c r="A201" s="10">
        <v>45674</v>
      </c>
      <c r="B201" s="10" t="str">
        <f t="shared" si="3"/>
        <v>Jan</v>
      </c>
      <c r="C201" s="10" t="str">
        <f>TEXT(Table1[[#This Row],[Date ]],"dddd")</f>
        <v>Friday</v>
      </c>
      <c r="D201" s="10" t="str">
        <f>TEXT(Table1[[#This Row],[Date ]],"yyyy")</f>
        <v>2025</v>
      </c>
      <c r="E201" s="4" t="s">
        <v>14</v>
      </c>
      <c r="F201" s="4">
        <v>244.7</v>
      </c>
      <c r="G201" s="4">
        <v>250.8</v>
      </c>
      <c r="H201" s="4">
        <v>240.5</v>
      </c>
      <c r="I201" s="4">
        <v>241.9</v>
      </c>
      <c r="J201" s="4">
        <v>248.65</v>
      </c>
      <c r="K201" s="4">
        <v>248.8</v>
      </c>
      <c r="L201" s="4">
        <v>246.6</v>
      </c>
      <c r="M201" s="4">
        <v>304.7</v>
      </c>
      <c r="N201" s="4">
        <v>121.6</v>
      </c>
      <c r="O201" s="7">
        <v>40007808</v>
      </c>
      <c r="P201" s="8">
        <v>9866006525.9500008</v>
      </c>
      <c r="Q201" s="7">
        <v>244274</v>
      </c>
    </row>
    <row r="202" spans="1:17" x14ac:dyDescent="0.25">
      <c r="A202" s="9">
        <v>45677</v>
      </c>
      <c r="B202" s="10" t="str">
        <f t="shared" si="3"/>
        <v>Jan</v>
      </c>
      <c r="C202" s="9" t="str">
        <f>TEXT(Table1[[#This Row],[Date ]],"dddd")</f>
        <v>Monday</v>
      </c>
      <c r="D202" s="9" t="str">
        <f>TEXT(Table1[[#This Row],[Date ]],"yyyy")</f>
        <v>2025</v>
      </c>
      <c r="E202" s="3" t="s">
        <v>14</v>
      </c>
      <c r="F202" s="3">
        <v>251</v>
      </c>
      <c r="G202" s="3">
        <v>254.35</v>
      </c>
      <c r="H202" s="3">
        <v>228.25</v>
      </c>
      <c r="I202" s="3">
        <v>248.8</v>
      </c>
      <c r="J202" s="3">
        <v>230.7</v>
      </c>
      <c r="K202" s="3">
        <v>239.75</v>
      </c>
      <c r="L202" s="3">
        <v>244.49</v>
      </c>
      <c r="M202" s="3">
        <v>304.7</v>
      </c>
      <c r="N202" s="3">
        <v>127</v>
      </c>
      <c r="O202" s="5">
        <v>102666319</v>
      </c>
      <c r="P202" s="6">
        <v>25100933417.299999</v>
      </c>
      <c r="Q202" s="5">
        <v>446072</v>
      </c>
    </row>
    <row r="203" spans="1:17" x14ac:dyDescent="0.25">
      <c r="A203" s="10">
        <v>45678</v>
      </c>
      <c r="B203" s="10" t="str">
        <f t="shared" si="3"/>
        <v>Jan</v>
      </c>
      <c r="C203" s="10" t="str">
        <f>TEXT(Table1[[#This Row],[Date ]],"dddd")</f>
        <v>Tuesday</v>
      </c>
      <c r="D203" s="10" t="str">
        <f>TEXT(Table1[[#This Row],[Date ]],"yyyy")</f>
        <v>2025</v>
      </c>
      <c r="E203" s="4" t="s">
        <v>14</v>
      </c>
      <c r="F203" s="4">
        <v>223</v>
      </c>
      <c r="G203" s="4">
        <v>227</v>
      </c>
      <c r="H203" s="4">
        <v>207.8</v>
      </c>
      <c r="I203" s="4">
        <v>239.75</v>
      </c>
      <c r="J203" s="4">
        <v>215.4</v>
      </c>
      <c r="K203" s="4">
        <v>214.55</v>
      </c>
      <c r="L203" s="4">
        <v>218.11</v>
      </c>
      <c r="M203" s="4">
        <v>304.7</v>
      </c>
      <c r="N203" s="4">
        <v>127</v>
      </c>
      <c r="O203" s="7">
        <v>308217731</v>
      </c>
      <c r="P203" s="8">
        <v>67225769802.050003</v>
      </c>
      <c r="Q203" s="7">
        <v>1403192</v>
      </c>
    </row>
    <row r="204" spans="1:17" x14ac:dyDescent="0.25">
      <c r="A204" s="9">
        <v>45679</v>
      </c>
      <c r="B204" s="10" t="str">
        <f t="shared" si="3"/>
        <v>Jan</v>
      </c>
      <c r="C204" s="9" t="str">
        <f>TEXT(Table1[[#This Row],[Date ]],"dddd")</f>
        <v>Wednesday</v>
      </c>
      <c r="D204" s="9" t="str">
        <f>TEXT(Table1[[#This Row],[Date ]],"yyyy")</f>
        <v>2025</v>
      </c>
      <c r="E204" s="3" t="s">
        <v>14</v>
      </c>
      <c r="F204" s="3">
        <v>207.15</v>
      </c>
      <c r="G204" s="3">
        <v>218.2</v>
      </c>
      <c r="H204" s="3">
        <v>203.85</v>
      </c>
      <c r="I204" s="3">
        <v>214.55</v>
      </c>
      <c r="J204" s="3">
        <v>218.1</v>
      </c>
      <c r="K204" s="3">
        <v>216.45</v>
      </c>
      <c r="L204" s="3">
        <v>210.75</v>
      </c>
      <c r="M204" s="3">
        <v>304.7</v>
      </c>
      <c r="N204" s="3">
        <v>127</v>
      </c>
      <c r="O204" s="5">
        <v>178256196</v>
      </c>
      <c r="P204" s="6">
        <v>37568007232.300003</v>
      </c>
      <c r="Q204" s="5">
        <v>654957</v>
      </c>
    </row>
    <row r="205" spans="1:17" x14ac:dyDescent="0.25">
      <c r="A205" s="10">
        <v>45680</v>
      </c>
      <c r="B205" s="10" t="str">
        <f t="shared" si="3"/>
        <v>Jan</v>
      </c>
      <c r="C205" s="10" t="str">
        <f>TEXT(Table1[[#This Row],[Date ]],"dddd")</f>
        <v>Thursday</v>
      </c>
      <c r="D205" s="10" t="str">
        <f>TEXT(Table1[[#This Row],[Date ]],"yyyy")</f>
        <v>2025</v>
      </c>
      <c r="E205" s="4" t="s">
        <v>14</v>
      </c>
      <c r="F205" s="4">
        <v>219.65</v>
      </c>
      <c r="G205" s="4">
        <v>223.45</v>
      </c>
      <c r="H205" s="4">
        <v>216.45</v>
      </c>
      <c r="I205" s="4">
        <v>216.45</v>
      </c>
      <c r="J205" s="4">
        <v>220.95</v>
      </c>
      <c r="K205" s="4">
        <v>221.95</v>
      </c>
      <c r="L205" s="4">
        <v>220.69</v>
      </c>
      <c r="M205" s="4">
        <v>304.7</v>
      </c>
      <c r="N205" s="4">
        <v>127</v>
      </c>
      <c r="O205" s="7">
        <v>75649874</v>
      </c>
      <c r="P205" s="8">
        <v>16695011170.1</v>
      </c>
      <c r="Q205" s="7">
        <v>376145</v>
      </c>
    </row>
    <row r="206" spans="1:17" x14ac:dyDescent="0.25">
      <c r="A206" s="9">
        <v>45681</v>
      </c>
      <c r="B206" s="10" t="str">
        <f t="shared" si="3"/>
        <v>Jan</v>
      </c>
      <c r="C206" s="9" t="str">
        <f>TEXT(Table1[[#This Row],[Date ]],"dddd")</f>
        <v>Friday</v>
      </c>
      <c r="D206" s="9" t="str">
        <f>TEXT(Table1[[#This Row],[Date ]],"yyyy")</f>
        <v>2025</v>
      </c>
      <c r="E206" s="3" t="s">
        <v>14</v>
      </c>
      <c r="F206" s="3">
        <v>221</v>
      </c>
      <c r="G206" s="3">
        <v>221</v>
      </c>
      <c r="H206" s="3">
        <v>214.6</v>
      </c>
      <c r="I206" s="3">
        <v>221.95</v>
      </c>
      <c r="J206" s="3">
        <v>215.45</v>
      </c>
      <c r="K206" s="3">
        <v>215.6</v>
      </c>
      <c r="L206" s="3">
        <v>217.78</v>
      </c>
      <c r="M206" s="3">
        <v>304.7</v>
      </c>
      <c r="N206" s="3">
        <v>127</v>
      </c>
      <c r="O206" s="5">
        <v>43901547</v>
      </c>
      <c r="P206" s="6">
        <v>9561028972.7999992</v>
      </c>
      <c r="Q206" s="5">
        <v>265340</v>
      </c>
    </row>
    <row r="207" spans="1:17" x14ac:dyDescent="0.25">
      <c r="A207" s="10">
        <v>45684</v>
      </c>
      <c r="B207" s="10" t="str">
        <f t="shared" si="3"/>
        <v>Jan</v>
      </c>
      <c r="C207" s="10" t="str">
        <f>TEXT(Table1[[#This Row],[Date ]],"dddd")</f>
        <v>Monday</v>
      </c>
      <c r="D207" s="10" t="str">
        <f>TEXT(Table1[[#This Row],[Date ]],"yyyy")</f>
        <v>2025</v>
      </c>
      <c r="E207" s="4" t="s">
        <v>14</v>
      </c>
      <c r="F207" s="4">
        <v>213</v>
      </c>
      <c r="G207" s="4">
        <v>213</v>
      </c>
      <c r="H207" s="4">
        <v>205.5</v>
      </c>
      <c r="I207" s="4">
        <v>215.6</v>
      </c>
      <c r="J207" s="4">
        <v>206.1</v>
      </c>
      <c r="K207" s="4">
        <v>206.2</v>
      </c>
      <c r="L207" s="4">
        <v>208.97</v>
      </c>
      <c r="M207" s="4">
        <v>304.7</v>
      </c>
      <c r="N207" s="4">
        <v>132.35</v>
      </c>
      <c r="O207" s="7">
        <v>55203993</v>
      </c>
      <c r="P207" s="8">
        <v>11536063861.85</v>
      </c>
      <c r="Q207" s="7">
        <v>309246</v>
      </c>
    </row>
    <row r="208" spans="1:17" x14ac:dyDescent="0.25">
      <c r="A208" s="9">
        <v>45685</v>
      </c>
      <c r="B208" s="10" t="str">
        <f t="shared" si="3"/>
        <v>Jan</v>
      </c>
      <c r="C208" s="9" t="str">
        <f>TEXT(Table1[[#This Row],[Date ]],"dddd")</f>
        <v>Tuesday</v>
      </c>
      <c r="D208" s="9" t="str">
        <f>TEXT(Table1[[#This Row],[Date ]],"yyyy")</f>
        <v>2025</v>
      </c>
      <c r="E208" s="3" t="s">
        <v>14</v>
      </c>
      <c r="F208" s="3">
        <v>206.25</v>
      </c>
      <c r="G208" s="3">
        <v>211.75</v>
      </c>
      <c r="H208" s="3">
        <v>205.6</v>
      </c>
      <c r="I208" s="3">
        <v>206.2</v>
      </c>
      <c r="J208" s="3">
        <v>209.3</v>
      </c>
      <c r="K208" s="3">
        <v>208.2</v>
      </c>
      <c r="L208" s="3">
        <v>208.97</v>
      </c>
      <c r="M208" s="3">
        <v>304.7</v>
      </c>
      <c r="N208" s="3">
        <v>132.35</v>
      </c>
      <c r="O208" s="5">
        <v>54426157</v>
      </c>
      <c r="P208" s="6">
        <v>11373284084.6</v>
      </c>
      <c r="Q208" s="5">
        <v>279495</v>
      </c>
    </row>
    <row r="209" spans="1:17" x14ac:dyDescent="0.25">
      <c r="A209" s="10">
        <v>45686</v>
      </c>
      <c r="B209" s="10" t="str">
        <f t="shared" si="3"/>
        <v>Jan</v>
      </c>
      <c r="C209" s="10" t="str">
        <f>TEXT(Table1[[#This Row],[Date ]],"dddd")</f>
        <v>Wednesday</v>
      </c>
      <c r="D209" s="10" t="str">
        <f>TEXT(Table1[[#This Row],[Date ]],"yyyy")</f>
        <v>2025</v>
      </c>
      <c r="E209" s="4" t="s">
        <v>14</v>
      </c>
      <c r="F209" s="4">
        <v>211</v>
      </c>
      <c r="G209" s="4">
        <v>223.75</v>
      </c>
      <c r="H209" s="4">
        <v>210.2</v>
      </c>
      <c r="I209" s="4">
        <v>208.2</v>
      </c>
      <c r="J209" s="4">
        <v>222.15</v>
      </c>
      <c r="K209" s="4">
        <v>222.5</v>
      </c>
      <c r="L209" s="4">
        <v>217.83</v>
      </c>
      <c r="M209" s="4">
        <v>304.7</v>
      </c>
      <c r="N209" s="4">
        <v>132.35</v>
      </c>
      <c r="O209" s="7">
        <v>53638588</v>
      </c>
      <c r="P209" s="8">
        <v>11684036862</v>
      </c>
      <c r="Q209" s="7">
        <v>262293</v>
      </c>
    </row>
    <row r="210" spans="1:17" x14ac:dyDescent="0.25">
      <c r="A210" s="9">
        <v>45687</v>
      </c>
      <c r="B210" s="10" t="str">
        <f t="shared" si="3"/>
        <v>Jan</v>
      </c>
      <c r="C210" s="9" t="str">
        <f>TEXT(Table1[[#This Row],[Date ]],"dddd")</f>
        <v>Thursday</v>
      </c>
      <c r="D210" s="9" t="str">
        <f>TEXT(Table1[[#This Row],[Date ]],"yyyy")</f>
        <v>2025</v>
      </c>
      <c r="E210" s="3" t="s">
        <v>14</v>
      </c>
      <c r="F210" s="3">
        <v>223</v>
      </c>
      <c r="G210" s="3">
        <v>224.8</v>
      </c>
      <c r="H210" s="3">
        <v>217</v>
      </c>
      <c r="I210" s="3">
        <v>222.5</v>
      </c>
      <c r="J210" s="3">
        <v>218.75</v>
      </c>
      <c r="K210" s="3">
        <v>218.8</v>
      </c>
      <c r="L210" s="3">
        <v>220.31</v>
      </c>
      <c r="M210" s="3">
        <v>304.7</v>
      </c>
      <c r="N210" s="3">
        <v>132.35</v>
      </c>
      <c r="O210" s="5">
        <v>44730687</v>
      </c>
      <c r="P210" s="6">
        <v>9854517236.5499992</v>
      </c>
      <c r="Q210" s="5">
        <v>199242</v>
      </c>
    </row>
    <row r="211" spans="1:17" x14ac:dyDescent="0.25">
      <c r="A211" s="10">
        <v>45688</v>
      </c>
      <c r="B211" s="10" t="str">
        <f t="shared" si="3"/>
        <v>Jan</v>
      </c>
      <c r="C211" s="10" t="str">
        <f>TEXT(Table1[[#This Row],[Date ]],"dddd")</f>
        <v>Friday</v>
      </c>
      <c r="D211" s="10" t="str">
        <f>TEXT(Table1[[#This Row],[Date ]],"yyyy")</f>
        <v>2025</v>
      </c>
      <c r="E211" s="4" t="s">
        <v>14</v>
      </c>
      <c r="F211" s="4">
        <v>219</v>
      </c>
      <c r="G211" s="4">
        <v>223</v>
      </c>
      <c r="H211" s="4">
        <v>217</v>
      </c>
      <c r="I211" s="4">
        <v>218.8</v>
      </c>
      <c r="J211" s="4">
        <v>222.1</v>
      </c>
      <c r="K211" s="4">
        <v>220.35</v>
      </c>
      <c r="L211" s="4">
        <v>220.69</v>
      </c>
      <c r="M211" s="4">
        <v>304.7</v>
      </c>
      <c r="N211" s="4">
        <v>132.35</v>
      </c>
      <c r="O211" s="7">
        <v>33200044</v>
      </c>
      <c r="P211" s="8">
        <v>7326997416.8500004</v>
      </c>
      <c r="Q211" s="7">
        <v>154834</v>
      </c>
    </row>
    <row r="212" spans="1:17" x14ac:dyDescent="0.25">
      <c r="A212" s="9">
        <v>45689</v>
      </c>
      <c r="B212" s="10" t="str">
        <f t="shared" si="3"/>
        <v>Feb</v>
      </c>
      <c r="C212" s="9" t="str">
        <f>TEXT(Table1[[#This Row],[Date ]],"dddd")</f>
        <v>Saturday</v>
      </c>
      <c r="D212" s="9" t="str">
        <f>TEXT(Table1[[#This Row],[Date ]],"yyyy")</f>
        <v>2025</v>
      </c>
      <c r="E212" s="3" t="s">
        <v>14</v>
      </c>
      <c r="F212" s="3">
        <v>220.35</v>
      </c>
      <c r="G212" s="3">
        <v>240.4</v>
      </c>
      <c r="H212" s="3">
        <v>215.6</v>
      </c>
      <c r="I212" s="3">
        <v>220.35</v>
      </c>
      <c r="J212" s="3">
        <v>235.02</v>
      </c>
      <c r="K212" s="3">
        <v>236.32</v>
      </c>
      <c r="L212" s="3">
        <v>230.85</v>
      </c>
      <c r="M212" s="3">
        <v>304.7</v>
      </c>
      <c r="N212" s="3">
        <v>132.35</v>
      </c>
      <c r="O212" s="5">
        <v>85297849</v>
      </c>
      <c r="P212" s="6">
        <v>19691207396.490002</v>
      </c>
      <c r="Q212" s="5">
        <v>498770</v>
      </c>
    </row>
    <row r="213" spans="1:17" x14ac:dyDescent="0.25">
      <c r="A213" s="10">
        <v>45691</v>
      </c>
      <c r="B213" s="10" t="str">
        <f t="shared" si="3"/>
        <v>Feb</v>
      </c>
      <c r="C213" s="10" t="str">
        <f>TEXT(Table1[[#This Row],[Date ]],"dddd")</f>
        <v>Monday</v>
      </c>
      <c r="D213" s="10" t="str">
        <f>TEXT(Table1[[#This Row],[Date ]],"yyyy")</f>
        <v>2025</v>
      </c>
      <c r="E213" s="4" t="s">
        <v>14</v>
      </c>
      <c r="F213" s="4">
        <v>233.99</v>
      </c>
      <c r="G213" s="4">
        <v>240.19</v>
      </c>
      <c r="H213" s="4">
        <v>230</v>
      </c>
      <c r="I213" s="4">
        <v>236.32</v>
      </c>
      <c r="J213" s="4">
        <v>238.65</v>
      </c>
      <c r="K213" s="4">
        <v>238.2</v>
      </c>
      <c r="L213" s="4">
        <v>236.67</v>
      </c>
      <c r="M213" s="4">
        <v>304.7</v>
      </c>
      <c r="N213" s="4">
        <v>138.05000000000001</v>
      </c>
      <c r="O213" s="7">
        <v>70249177</v>
      </c>
      <c r="P213" s="8">
        <v>16625951852.34</v>
      </c>
      <c r="Q213" s="7">
        <v>385974</v>
      </c>
    </row>
    <row r="214" spans="1:17" x14ac:dyDescent="0.25">
      <c r="A214" s="9">
        <v>45692</v>
      </c>
      <c r="B214" s="10" t="str">
        <f t="shared" si="3"/>
        <v>Feb</v>
      </c>
      <c r="C214" s="9" t="str">
        <f>TEXT(Table1[[#This Row],[Date ]],"dddd")</f>
        <v>Tuesday</v>
      </c>
      <c r="D214" s="9" t="str">
        <f>TEXT(Table1[[#This Row],[Date ]],"yyyy")</f>
        <v>2025</v>
      </c>
      <c r="E214" s="3" t="s">
        <v>14</v>
      </c>
      <c r="F214" s="3">
        <v>242</v>
      </c>
      <c r="G214" s="3">
        <v>242</v>
      </c>
      <c r="H214" s="3">
        <v>229.34</v>
      </c>
      <c r="I214" s="3">
        <v>238.2</v>
      </c>
      <c r="J214" s="3">
        <v>233.29</v>
      </c>
      <c r="K214" s="3">
        <v>234.54</v>
      </c>
      <c r="L214" s="3">
        <v>234.3</v>
      </c>
      <c r="M214" s="3">
        <v>304.7</v>
      </c>
      <c r="N214" s="3">
        <v>138.05000000000001</v>
      </c>
      <c r="O214" s="5">
        <v>64341167</v>
      </c>
      <c r="P214" s="6">
        <v>15075247431.200001</v>
      </c>
      <c r="Q214" s="5">
        <v>341415</v>
      </c>
    </row>
    <row r="215" spans="1:17" x14ac:dyDescent="0.25">
      <c r="A215" s="10">
        <v>45693</v>
      </c>
      <c r="B215" s="10" t="str">
        <f t="shared" si="3"/>
        <v>Feb</v>
      </c>
      <c r="C215" s="10" t="str">
        <f>TEXT(Table1[[#This Row],[Date ]],"dddd")</f>
        <v>Wednesday</v>
      </c>
      <c r="D215" s="10" t="str">
        <f>TEXT(Table1[[#This Row],[Date ]],"yyyy")</f>
        <v>2025</v>
      </c>
      <c r="E215" s="4" t="s">
        <v>14</v>
      </c>
      <c r="F215" s="4">
        <v>234</v>
      </c>
      <c r="G215" s="4">
        <v>239.39</v>
      </c>
      <c r="H215" s="4">
        <v>230.5</v>
      </c>
      <c r="I215" s="4">
        <v>234.54</v>
      </c>
      <c r="J215" s="4">
        <v>231.49</v>
      </c>
      <c r="K215" s="4">
        <v>231.12</v>
      </c>
      <c r="L215" s="4">
        <v>234.35</v>
      </c>
      <c r="M215" s="4">
        <v>304.7</v>
      </c>
      <c r="N215" s="4">
        <v>138.05000000000001</v>
      </c>
      <c r="O215" s="7">
        <v>36437504</v>
      </c>
      <c r="P215" s="8">
        <v>8539263124.3699999</v>
      </c>
      <c r="Q215" s="7">
        <v>351041</v>
      </c>
    </row>
    <row r="216" spans="1:17" x14ac:dyDescent="0.25">
      <c r="A216" s="9">
        <v>45694</v>
      </c>
      <c r="B216" s="10" t="str">
        <f t="shared" si="3"/>
        <v>Feb</v>
      </c>
      <c r="C216" s="9" t="str">
        <f>TEXT(Table1[[#This Row],[Date ]],"dddd")</f>
        <v>Thursday</v>
      </c>
      <c r="D216" s="9" t="str">
        <f>TEXT(Table1[[#This Row],[Date ]],"yyyy")</f>
        <v>2025</v>
      </c>
      <c r="E216" s="3" t="s">
        <v>14</v>
      </c>
      <c r="F216" s="3">
        <v>233.47</v>
      </c>
      <c r="G216" s="3">
        <v>234.65</v>
      </c>
      <c r="H216" s="3">
        <v>226.66</v>
      </c>
      <c r="I216" s="3">
        <v>231.12</v>
      </c>
      <c r="J216" s="3">
        <v>229.9</v>
      </c>
      <c r="K216" s="3">
        <v>229.05</v>
      </c>
      <c r="L216" s="3">
        <v>231.66</v>
      </c>
      <c r="M216" s="3">
        <v>304.7</v>
      </c>
      <c r="N216" s="3">
        <v>138.05000000000001</v>
      </c>
      <c r="O216" s="5">
        <v>41606913</v>
      </c>
      <c r="P216" s="6">
        <v>9638730890.6700001</v>
      </c>
      <c r="Q216" s="5">
        <v>289404</v>
      </c>
    </row>
    <row r="217" spans="1:17" x14ac:dyDescent="0.25">
      <c r="A217" s="10">
        <v>45695</v>
      </c>
      <c r="B217" s="10" t="str">
        <f t="shared" si="3"/>
        <v>Feb</v>
      </c>
      <c r="C217" s="10" t="str">
        <f>TEXT(Table1[[#This Row],[Date ]],"dddd")</f>
        <v>Friday</v>
      </c>
      <c r="D217" s="10" t="str">
        <f>TEXT(Table1[[#This Row],[Date ]],"yyyy")</f>
        <v>2025</v>
      </c>
      <c r="E217" s="4" t="s">
        <v>14</v>
      </c>
      <c r="F217" s="4">
        <v>230.7</v>
      </c>
      <c r="G217" s="4">
        <v>234.7</v>
      </c>
      <c r="H217" s="4">
        <v>229.4</v>
      </c>
      <c r="I217" s="4">
        <v>229.05</v>
      </c>
      <c r="J217" s="4">
        <v>233.37</v>
      </c>
      <c r="K217" s="4">
        <v>233.9</v>
      </c>
      <c r="L217" s="4">
        <v>232.17</v>
      </c>
      <c r="M217" s="4">
        <v>304.7</v>
      </c>
      <c r="N217" s="4">
        <v>138.05000000000001</v>
      </c>
      <c r="O217" s="7">
        <v>39271458</v>
      </c>
      <c r="P217" s="8">
        <v>9117609782.4200001</v>
      </c>
      <c r="Q217" s="7">
        <v>234305</v>
      </c>
    </row>
    <row r="218" spans="1:17" x14ac:dyDescent="0.25">
      <c r="A218" s="9">
        <v>45698</v>
      </c>
      <c r="B218" s="10" t="str">
        <f t="shared" si="3"/>
        <v>Feb</v>
      </c>
      <c r="C218" s="9" t="str">
        <f>TEXT(Table1[[#This Row],[Date ]],"dddd")</f>
        <v>Monday</v>
      </c>
      <c r="D218" s="9" t="str">
        <f>TEXT(Table1[[#This Row],[Date ]],"yyyy")</f>
        <v>2025</v>
      </c>
      <c r="E218" s="3" t="s">
        <v>14</v>
      </c>
      <c r="F218" s="3">
        <v>233.35</v>
      </c>
      <c r="G218" s="3">
        <v>234.89</v>
      </c>
      <c r="H218" s="3">
        <v>224.75</v>
      </c>
      <c r="I218" s="3">
        <v>233.9</v>
      </c>
      <c r="J218" s="3">
        <v>227</v>
      </c>
      <c r="K218" s="3">
        <v>227.25</v>
      </c>
      <c r="L218" s="3">
        <v>227.85</v>
      </c>
      <c r="M218" s="3">
        <v>304.7</v>
      </c>
      <c r="N218" s="3">
        <v>144.30000000000001</v>
      </c>
      <c r="O218" s="5">
        <v>38606975</v>
      </c>
      <c r="P218" s="6">
        <v>8796620685.75</v>
      </c>
      <c r="Q218" s="5">
        <v>208383</v>
      </c>
    </row>
    <row r="219" spans="1:17" x14ac:dyDescent="0.25">
      <c r="A219" s="10">
        <v>45699</v>
      </c>
      <c r="B219" s="10" t="str">
        <f t="shared" si="3"/>
        <v>Feb</v>
      </c>
      <c r="C219" s="10" t="str">
        <f>TEXT(Table1[[#This Row],[Date ]],"dddd")</f>
        <v>Tuesday</v>
      </c>
      <c r="D219" s="10" t="str">
        <f>TEXT(Table1[[#This Row],[Date ]],"yyyy")</f>
        <v>2025</v>
      </c>
      <c r="E219" s="4" t="s">
        <v>14</v>
      </c>
      <c r="F219" s="4">
        <v>227</v>
      </c>
      <c r="G219" s="4">
        <v>227.24</v>
      </c>
      <c r="H219" s="4">
        <v>213.37</v>
      </c>
      <c r="I219" s="4">
        <v>227.25</v>
      </c>
      <c r="J219" s="4">
        <v>216</v>
      </c>
      <c r="K219" s="4">
        <v>215.45</v>
      </c>
      <c r="L219" s="4">
        <v>217.2</v>
      </c>
      <c r="M219" s="4">
        <v>304.7</v>
      </c>
      <c r="N219" s="4">
        <v>144.30000000000001</v>
      </c>
      <c r="O219" s="7">
        <v>71258339</v>
      </c>
      <c r="P219" s="8">
        <v>15477340198.51</v>
      </c>
      <c r="Q219" s="7">
        <v>406441</v>
      </c>
    </row>
    <row r="220" spans="1:17" x14ac:dyDescent="0.25">
      <c r="A220" s="9">
        <v>45700</v>
      </c>
      <c r="B220" s="10" t="str">
        <f t="shared" si="3"/>
        <v>Feb</v>
      </c>
      <c r="C220" s="9" t="str">
        <f>TEXT(Table1[[#This Row],[Date ]],"dddd")</f>
        <v>Wednesday</v>
      </c>
      <c r="D220" s="9" t="str">
        <f>TEXT(Table1[[#This Row],[Date ]],"yyyy")</f>
        <v>2025</v>
      </c>
      <c r="E220" s="3" t="s">
        <v>14</v>
      </c>
      <c r="F220" s="3">
        <v>213.01</v>
      </c>
      <c r="G220" s="3">
        <v>219.35</v>
      </c>
      <c r="H220" s="3">
        <v>206.75</v>
      </c>
      <c r="I220" s="3">
        <v>215.45</v>
      </c>
      <c r="J220" s="3">
        <v>217</v>
      </c>
      <c r="K220" s="3">
        <v>214.7</v>
      </c>
      <c r="L220" s="3">
        <v>212.91</v>
      </c>
      <c r="M220" s="3">
        <v>304.7</v>
      </c>
      <c r="N220" s="3">
        <v>144.30000000000001</v>
      </c>
      <c r="O220" s="5">
        <v>86778158</v>
      </c>
      <c r="P220" s="6">
        <v>18475869012.400002</v>
      </c>
      <c r="Q220" s="5">
        <v>468042</v>
      </c>
    </row>
    <row r="221" spans="1:17" x14ac:dyDescent="0.25">
      <c r="A221" s="10">
        <v>45701</v>
      </c>
      <c r="B221" s="10" t="str">
        <f t="shared" si="3"/>
        <v>Feb</v>
      </c>
      <c r="C221" s="10" t="str">
        <f>TEXT(Table1[[#This Row],[Date ]],"dddd")</f>
        <v>Thursday</v>
      </c>
      <c r="D221" s="10" t="str">
        <f>TEXT(Table1[[#This Row],[Date ]],"yyyy")</f>
        <v>2025</v>
      </c>
      <c r="E221" s="4" t="s">
        <v>14</v>
      </c>
      <c r="F221" s="4">
        <v>218.01</v>
      </c>
      <c r="G221" s="4">
        <v>220.44</v>
      </c>
      <c r="H221" s="4">
        <v>216.47</v>
      </c>
      <c r="I221" s="4">
        <v>214.7</v>
      </c>
      <c r="J221" s="4">
        <v>217.49</v>
      </c>
      <c r="K221" s="4">
        <v>217.87</v>
      </c>
      <c r="L221" s="4">
        <v>218.58</v>
      </c>
      <c r="M221" s="4">
        <v>304.7</v>
      </c>
      <c r="N221" s="4">
        <v>144.30000000000001</v>
      </c>
      <c r="O221" s="7">
        <v>25633804</v>
      </c>
      <c r="P221" s="8">
        <v>5603010522.8900003</v>
      </c>
      <c r="Q221" s="7">
        <v>173231</v>
      </c>
    </row>
    <row r="222" spans="1:17" x14ac:dyDescent="0.25">
      <c r="A222" s="9">
        <v>45702</v>
      </c>
      <c r="B222" s="10" t="str">
        <f t="shared" si="3"/>
        <v>Feb</v>
      </c>
      <c r="C222" s="9" t="str">
        <f>TEXT(Table1[[#This Row],[Date ]],"dddd")</f>
        <v>Friday</v>
      </c>
      <c r="D222" s="9" t="str">
        <f>TEXT(Table1[[#This Row],[Date ]],"yyyy")</f>
        <v>2025</v>
      </c>
      <c r="E222" s="3" t="s">
        <v>14</v>
      </c>
      <c r="F222" s="3">
        <v>218.54</v>
      </c>
      <c r="G222" s="3">
        <v>219.72</v>
      </c>
      <c r="H222" s="3">
        <v>213.44</v>
      </c>
      <c r="I222" s="3">
        <v>217.87</v>
      </c>
      <c r="J222" s="3">
        <v>216.44</v>
      </c>
      <c r="K222" s="3">
        <v>215.99</v>
      </c>
      <c r="L222" s="3">
        <v>216.25</v>
      </c>
      <c r="M222" s="3">
        <v>304.7</v>
      </c>
      <c r="N222" s="3">
        <v>144.30000000000001</v>
      </c>
      <c r="O222" s="5">
        <v>32738152</v>
      </c>
      <c r="P222" s="6">
        <v>7079678971.1800003</v>
      </c>
      <c r="Q222" s="5">
        <v>188566</v>
      </c>
    </row>
    <row r="223" spans="1:17" x14ac:dyDescent="0.25">
      <c r="A223" s="10">
        <v>45705</v>
      </c>
      <c r="B223" s="10" t="str">
        <f t="shared" si="3"/>
        <v>Feb</v>
      </c>
      <c r="C223" s="10" t="str">
        <f>TEXT(Table1[[#This Row],[Date ]],"dddd")</f>
        <v>Monday</v>
      </c>
      <c r="D223" s="10" t="str">
        <f>TEXT(Table1[[#This Row],[Date ]],"yyyy")</f>
        <v>2025</v>
      </c>
      <c r="E223" s="4" t="s">
        <v>14</v>
      </c>
      <c r="F223" s="4">
        <v>213.19</v>
      </c>
      <c r="G223" s="4">
        <v>219.13</v>
      </c>
      <c r="H223" s="4">
        <v>210.51</v>
      </c>
      <c r="I223" s="4">
        <v>215.99</v>
      </c>
      <c r="J223" s="4">
        <v>218.83</v>
      </c>
      <c r="K223" s="4">
        <v>218.53</v>
      </c>
      <c r="L223" s="4">
        <v>216.81</v>
      </c>
      <c r="M223" s="4">
        <v>304.7</v>
      </c>
      <c r="N223" s="4">
        <v>144.30000000000001</v>
      </c>
      <c r="O223" s="7">
        <v>23560419</v>
      </c>
      <c r="P223" s="8">
        <v>5108219452.1599998</v>
      </c>
      <c r="Q223" s="7">
        <v>260613</v>
      </c>
    </row>
    <row r="224" spans="1:17" x14ac:dyDescent="0.25">
      <c r="A224" s="9">
        <v>45706</v>
      </c>
      <c r="B224" s="10" t="str">
        <f t="shared" si="3"/>
        <v>Feb</v>
      </c>
      <c r="C224" s="9" t="str">
        <f>TEXT(Table1[[#This Row],[Date ]],"dddd")</f>
        <v>Tuesday</v>
      </c>
      <c r="D224" s="9" t="str">
        <f>TEXT(Table1[[#This Row],[Date ]],"yyyy")</f>
        <v>2025</v>
      </c>
      <c r="E224" s="3" t="s">
        <v>14</v>
      </c>
      <c r="F224" s="3">
        <v>220</v>
      </c>
      <c r="G224" s="3">
        <v>224.6</v>
      </c>
      <c r="H224" s="3">
        <v>216.52</v>
      </c>
      <c r="I224" s="3">
        <v>218.53</v>
      </c>
      <c r="J224" s="3">
        <v>222.5</v>
      </c>
      <c r="K224" s="3">
        <v>223.31</v>
      </c>
      <c r="L224" s="3">
        <v>220.92</v>
      </c>
      <c r="M224" s="3">
        <v>304.7</v>
      </c>
      <c r="N224" s="3">
        <v>144.30000000000001</v>
      </c>
      <c r="O224" s="5">
        <v>35519896</v>
      </c>
      <c r="P224" s="6">
        <v>7847078156.71</v>
      </c>
      <c r="Q224" s="5">
        <v>220740</v>
      </c>
    </row>
    <row r="225" spans="1:17" x14ac:dyDescent="0.25">
      <c r="A225" s="10">
        <v>45707</v>
      </c>
      <c r="B225" s="10" t="str">
        <f t="shared" si="3"/>
        <v>Feb</v>
      </c>
      <c r="C225" s="10" t="str">
        <f>TEXT(Table1[[#This Row],[Date ]],"dddd")</f>
        <v>Wednesday</v>
      </c>
      <c r="D225" s="10" t="str">
        <f>TEXT(Table1[[#This Row],[Date ]],"yyyy")</f>
        <v>2025</v>
      </c>
      <c r="E225" s="4" t="s">
        <v>14</v>
      </c>
      <c r="F225" s="4">
        <v>220.6</v>
      </c>
      <c r="G225" s="4">
        <v>234.6</v>
      </c>
      <c r="H225" s="4">
        <v>220</v>
      </c>
      <c r="I225" s="4">
        <v>223.31</v>
      </c>
      <c r="J225" s="4">
        <v>234</v>
      </c>
      <c r="K225" s="4">
        <v>234.1</v>
      </c>
      <c r="L225" s="4">
        <v>231.09</v>
      </c>
      <c r="M225" s="4">
        <v>304.7</v>
      </c>
      <c r="N225" s="4">
        <v>144.30000000000001</v>
      </c>
      <c r="O225" s="7">
        <v>47896911</v>
      </c>
      <c r="P225" s="8">
        <v>11068436661.34</v>
      </c>
      <c r="Q225" s="7">
        <v>294295</v>
      </c>
    </row>
    <row r="226" spans="1:17" x14ac:dyDescent="0.25">
      <c r="A226" s="9">
        <v>45708</v>
      </c>
      <c r="B226" s="10" t="str">
        <f t="shared" si="3"/>
        <v>Feb</v>
      </c>
      <c r="C226" s="9" t="str">
        <f>TEXT(Table1[[#This Row],[Date ]],"dddd")</f>
        <v>Thursday</v>
      </c>
      <c r="D226" s="9" t="str">
        <f>TEXT(Table1[[#This Row],[Date ]],"yyyy")</f>
        <v>2025</v>
      </c>
      <c r="E226" s="3" t="s">
        <v>14</v>
      </c>
      <c r="F226" s="3">
        <v>231.5</v>
      </c>
      <c r="G226" s="3">
        <v>236.65</v>
      </c>
      <c r="H226" s="3">
        <v>230.11</v>
      </c>
      <c r="I226" s="3">
        <v>234.1</v>
      </c>
      <c r="J226" s="3">
        <v>232.95</v>
      </c>
      <c r="K226" s="3">
        <v>233.93</v>
      </c>
      <c r="L226" s="3">
        <v>233.95</v>
      </c>
      <c r="M226" s="3">
        <v>304.7</v>
      </c>
      <c r="N226" s="3">
        <v>144.30000000000001</v>
      </c>
      <c r="O226" s="5">
        <v>27119319</v>
      </c>
      <c r="P226" s="6">
        <v>6344459408.2200003</v>
      </c>
      <c r="Q226" s="5">
        <v>187397</v>
      </c>
    </row>
    <row r="227" spans="1:17" x14ac:dyDescent="0.25">
      <c r="A227" s="10">
        <v>45709</v>
      </c>
      <c r="B227" s="10" t="str">
        <f t="shared" si="3"/>
        <v>Feb</v>
      </c>
      <c r="C227" s="10" t="str">
        <f>TEXT(Table1[[#This Row],[Date ]],"dddd")</f>
        <v>Friday</v>
      </c>
      <c r="D227" s="10" t="str">
        <f>TEXT(Table1[[#This Row],[Date ]],"yyyy")</f>
        <v>2025</v>
      </c>
      <c r="E227" s="4" t="s">
        <v>14</v>
      </c>
      <c r="F227" s="4">
        <v>233</v>
      </c>
      <c r="G227" s="4">
        <v>238.73</v>
      </c>
      <c r="H227" s="4">
        <v>228.87</v>
      </c>
      <c r="I227" s="4">
        <v>233.93</v>
      </c>
      <c r="J227" s="4">
        <v>229.81</v>
      </c>
      <c r="K227" s="4">
        <v>230.36</v>
      </c>
      <c r="L227" s="4">
        <v>232.42</v>
      </c>
      <c r="M227" s="4">
        <v>304.7</v>
      </c>
      <c r="N227" s="4">
        <v>144.30000000000001</v>
      </c>
      <c r="O227" s="7">
        <v>36768250</v>
      </c>
      <c r="P227" s="8">
        <v>8545689653.8999996</v>
      </c>
      <c r="Q227" s="7">
        <v>249247</v>
      </c>
    </row>
    <row r="228" spans="1:17" x14ac:dyDescent="0.25">
      <c r="A228" s="9">
        <v>45712</v>
      </c>
      <c r="B228" s="10" t="str">
        <f t="shared" si="3"/>
        <v>Feb</v>
      </c>
      <c r="C228" s="9" t="str">
        <f>TEXT(Table1[[#This Row],[Date ]],"dddd")</f>
        <v>Monday</v>
      </c>
      <c r="D228" s="9" t="str">
        <f>TEXT(Table1[[#This Row],[Date ]],"yyyy")</f>
        <v>2025</v>
      </c>
      <c r="E228" s="3" t="s">
        <v>14</v>
      </c>
      <c r="F228" s="3">
        <v>219.98</v>
      </c>
      <c r="G228" s="3">
        <v>227.8</v>
      </c>
      <c r="H228" s="3">
        <v>219.98</v>
      </c>
      <c r="I228" s="3">
        <v>230.36</v>
      </c>
      <c r="J228" s="3">
        <v>222.57</v>
      </c>
      <c r="K228" s="3">
        <v>222.69</v>
      </c>
      <c r="L228" s="3">
        <v>224.48</v>
      </c>
      <c r="M228" s="3">
        <v>304.7</v>
      </c>
      <c r="N228" s="3">
        <v>144.30000000000001</v>
      </c>
      <c r="O228" s="5">
        <v>43335473</v>
      </c>
      <c r="P228" s="6">
        <v>9727901617.0300007</v>
      </c>
      <c r="Q228" s="5">
        <v>239930</v>
      </c>
    </row>
    <row r="229" spans="1:17" x14ac:dyDescent="0.25">
      <c r="A229" s="10">
        <v>45713</v>
      </c>
      <c r="B229" s="10" t="str">
        <f t="shared" si="3"/>
        <v>Feb</v>
      </c>
      <c r="C229" s="10" t="str">
        <f>TEXT(Table1[[#This Row],[Date ]],"dddd")</f>
        <v>Tuesday</v>
      </c>
      <c r="D229" s="10" t="str">
        <f>TEXT(Table1[[#This Row],[Date ]],"yyyy")</f>
        <v>2025</v>
      </c>
      <c r="E229" s="4" t="s">
        <v>14</v>
      </c>
      <c r="F229" s="4">
        <v>224.2</v>
      </c>
      <c r="G229" s="4">
        <v>230.18</v>
      </c>
      <c r="H229" s="4">
        <v>223.05</v>
      </c>
      <c r="I229" s="4">
        <v>222.69</v>
      </c>
      <c r="J229" s="4">
        <v>225.8</v>
      </c>
      <c r="K229" s="4">
        <v>225.63</v>
      </c>
      <c r="L229" s="4">
        <v>227.37</v>
      </c>
      <c r="M229" s="4">
        <v>304.7</v>
      </c>
      <c r="N229" s="4">
        <v>144.30000000000001</v>
      </c>
      <c r="O229" s="7">
        <v>48478366</v>
      </c>
      <c r="P229" s="8">
        <v>11022488332.549999</v>
      </c>
      <c r="Q229" s="7">
        <v>273484</v>
      </c>
    </row>
    <row r="230" spans="1:17" x14ac:dyDescent="0.25">
      <c r="A230" s="9">
        <v>45715</v>
      </c>
      <c r="B230" s="10" t="str">
        <f t="shared" si="3"/>
        <v>Feb</v>
      </c>
      <c r="C230" s="9" t="str">
        <f>TEXT(Table1[[#This Row],[Date ]],"dddd")</f>
        <v>Thursday</v>
      </c>
      <c r="D230" s="9" t="str">
        <f>TEXT(Table1[[#This Row],[Date ]],"yyyy")</f>
        <v>2025</v>
      </c>
      <c r="E230" s="3" t="s">
        <v>14</v>
      </c>
      <c r="F230" s="3">
        <v>226</v>
      </c>
      <c r="G230" s="3">
        <v>229.74</v>
      </c>
      <c r="H230" s="3">
        <v>225.05</v>
      </c>
      <c r="I230" s="3">
        <v>225.63</v>
      </c>
      <c r="J230" s="3">
        <v>228.91</v>
      </c>
      <c r="K230" s="3">
        <v>229.04</v>
      </c>
      <c r="L230" s="3">
        <v>227.43</v>
      </c>
      <c r="M230" s="3">
        <v>304.7</v>
      </c>
      <c r="N230" s="3">
        <v>144.30000000000001</v>
      </c>
      <c r="O230" s="5">
        <v>33845022</v>
      </c>
      <c r="P230" s="6">
        <v>7697304414.5500002</v>
      </c>
      <c r="Q230" s="5">
        <v>166607</v>
      </c>
    </row>
    <row r="231" spans="1:17" x14ac:dyDescent="0.25">
      <c r="A231" s="10">
        <v>45716</v>
      </c>
      <c r="B231" s="10" t="str">
        <f t="shared" si="3"/>
        <v>Feb</v>
      </c>
      <c r="C231" s="10" t="str">
        <f>TEXT(Table1[[#This Row],[Date ]],"dddd")</f>
        <v>Friday</v>
      </c>
      <c r="D231" s="10" t="str">
        <f>TEXT(Table1[[#This Row],[Date ]],"yyyy")</f>
        <v>2025</v>
      </c>
      <c r="E231" s="4" t="s">
        <v>14</v>
      </c>
      <c r="F231" s="4">
        <v>226</v>
      </c>
      <c r="G231" s="4">
        <v>228.46</v>
      </c>
      <c r="H231" s="4">
        <v>217.82</v>
      </c>
      <c r="I231" s="4">
        <v>229.04</v>
      </c>
      <c r="J231" s="4">
        <v>221.5</v>
      </c>
      <c r="K231" s="4">
        <v>222.1</v>
      </c>
      <c r="L231" s="4">
        <v>222.58</v>
      </c>
      <c r="M231" s="4">
        <v>304.7</v>
      </c>
      <c r="N231" s="4">
        <v>144.30000000000001</v>
      </c>
      <c r="O231" s="7">
        <v>115467128</v>
      </c>
      <c r="P231" s="8">
        <v>25700617574.240002</v>
      </c>
      <c r="Q231" s="7">
        <v>299830</v>
      </c>
    </row>
    <row r="232" spans="1:17" x14ac:dyDescent="0.25">
      <c r="A232" s="9">
        <v>45719</v>
      </c>
      <c r="B232" s="10" t="str">
        <f t="shared" si="3"/>
        <v>Mar</v>
      </c>
      <c r="C232" s="9" t="str">
        <f>TEXT(Table1[[#This Row],[Date ]],"dddd")</f>
        <v>Monday</v>
      </c>
      <c r="D232" s="9" t="str">
        <f>TEXT(Table1[[#This Row],[Date ]],"yyyy")</f>
        <v>2025</v>
      </c>
      <c r="E232" s="3" t="s">
        <v>14</v>
      </c>
      <c r="F232" s="3">
        <v>222.05</v>
      </c>
      <c r="G232" s="3">
        <v>225.58</v>
      </c>
      <c r="H232" s="3">
        <v>215.25</v>
      </c>
      <c r="I232" s="3">
        <v>222.1</v>
      </c>
      <c r="J232" s="3">
        <v>222.47</v>
      </c>
      <c r="K232" s="3">
        <v>222.14</v>
      </c>
      <c r="L232" s="3">
        <v>220.58</v>
      </c>
      <c r="M232" s="3">
        <v>304.7</v>
      </c>
      <c r="N232" s="3">
        <v>144.30000000000001</v>
      </c>
      <c r="O232" s="5">
        <v>33262928</v>
      </c>
      <c r="P232" s="6">
        <v>7337106835.3100004</v>
      </c>
      <c r="Q232" s="5">
        <v>237045</v>
      </c>
    </row>
    <row r="233" spans="1:17" x14ac:dyDescent="0.25">
      <c r="A233" s="10">
        <v>45720</v>
      </c>
      <c r="B233" s="10" t="str">
        <f t="shared" si="3"/>
        <v>Mar</v>
      </c>
      <c r="C233" s="10" t="str">
        <f>TEXT(Table1[[#This Row],[Date ]],"dddd")</f>
        <v>Tuesday</v>
      </c>
      <c r="D233" s="10" t="str">
        <f>TEXT(Table1[[#This Row],[Date ]],"yyyy")</f>
        <v>2025</v>
      </c>
      <c r="E233" s="4" t="s">
        <v>14</v>
      </c>
      <c r="F233" s="4">
        <v>220.6</v>
      </c>
      <c r="G233" s="4">
        <v>229.66</v>
      </c>
      <c r="H233" s="4">
        <v>218.7</v>
      </c>
      <c r="I233" s="4">
        <v>222.14</v>
      </c>
      <c r="J233" s="4">
        <v>226.9</v>
      </c>
      <c r="K233" s="4">
        <v>227.61</v>
      </c>
      <c r="L233" s="4">
        <v>226.69</v>
      </c>
      <c r="M233" s="4">
        <v>304.7</v>
      </c>
      <c r="N233" s="4">
        <v>144.30000000000001</v>
      </c>
      <c r="O233" s="7">
        <v>40794122</v>
      </c>
      <c r="P233" s="8">
        <v>9247507891.8700008</v>
      </c>
      <c r="Q233" s="7">
        <v>230022</v>
      </c>
    </row>
    <row r="234" spans="1:17" x14ac:dyDescent="0.25">
      <c r="A234" s="9">
        <v>45721</v>
      </c>
      <c r="B234" s="10" t="str">
        <f t="shared" si="3"/>
        <v>Mar</v>
      </c>
      <c r="C234" s="9" t="str">
        <f>TEXT(Table1[[#This Row],[Date ]],"dddd")</f>
        <v>Wednesday</v>
      </c>
      <c r="D234" s="9" t="str">
        <f>TEXT(Table1[[#This Row],[Date ]],"yyyy")</f>
        <v>2025</v>
      </c>
      <c r="E234" s="3" t="s">
        <v>14</v>
      </c>
      <c r="F234" s="3">
        <v>229</v>
      </c>
      <c r="G234" s="3">
        <v>231.75</v>
      </c>
      <c r="H234" s="3">
        <v>225.36</v>
      </c>
      <c r="I234" s="3">
        <v>227.61</v>
      </c>
      <c r="J234" s="3">
        <v>227.07</v>
      </c>
      <c r="K234" s="3">
        <v>227.02</v>
      </c>
      <c r="L234" s="3">
        <v>228.13</v>
      </c>
      <c r="M234" s="3">
        <v>304.7</v>
      </c>
      <c r="N234" s="3">
        <v>144.30000000000001</v>
      </c>
      <c r="O234" s="5">
        <v>33095222</v>
      </c>
      <c r="P234" s="6">
        <v>7549985171.54</v>
      </c>
      <c r="Q234" s="5">
        <v>196956</v>
      </c>
    </row>
    <row r="235" spans="1:17" x14ac:dyDescent="0.25">
      <c r="A235" s="10">
        <v>45722</v>
      </c>
      <c r="B235" s="10" t="str">
        <f t="shared" si="3"/>
        <v>Mar</v>
      </c>
      <c r="C235" s="10" t="str">
        <f>TEXT(Table1[[#This Row],[Date ]],"dddd")</f>
        <v>Thursday</v>
      </c>
      <c r="D235" s="10" t="str">
        <f>TEXT(Table1[[#This Row],[Date ]],"yyyy")</f>
        <v>2025</v>
      </c>
      <c r="E235" s="4" t="s">
        <v>14</v>
      </c>
      <c r="F235" s="4">
        <v>231.44</v>
      </c>
      <c r="G235" s="4">
        <v>231.44</v>
      </c>
      <c r="H235" s="4">
        <v>224.5</v>
      </c>
      <c r="I235" s="4">
        <v>227.02</v>
      </c>
      <c r="J235" s="4">
        <v>225.02</v>
      </c>
      <c r="K235" s="4">
        <v>225.43</v>
      </c>
      <c r="L235" s="4">
        <v>227.37</v>
      </c>
      <c r="M235" s="4">
        <v>304.7</v>
      </c>
      <c r="N235" s="4">
        <v>144.30000000000001</v>
      </c>
      <c r="O235" s="7">
        <v>31864115</v>
      </c>
      <c r="P235" s="8">
        <v>7245036037.5699997</v>
      </c>
      <c r="Q235" s="7">
        <v>193971</v>
      </c>
    </row>
    <row r="236" spans="1:17" x14ac:dyDescent="0.25">
      <c r="A236" s="9">
        <v>45723</v>
      </c>
      <c r="B236" s="10" t="str">
        <f t="shared" si="3"/>
        <v>Mar</v>
      </c>
      <c r="C236" s="9" t="str">
        <f>TEXT(Table1[[#This Row],[Date ]],"dddd")</f>
        <v>Friday</v>
      </c>
      <c r="D236" s="9" t="str">
        <f>TEXT(Table1[[#This Row],[Date ]],"yyyy")</f>
        <v>2025</v>
      </c>
      <c r="E236" s="3" t="s">
        <v>14</v>
      </c>
      <c r="F236" s="3">
        <v>223.89</v>
      </c>
      <c r="G236" s="3">
        <v>224.65</v>
      </c>
      <c r="H236" s="3">
        <v>216</v>
      </c>
      <c r="I236" s="3">
        <v>225.43</v>
      </c>
      <c r="J236" s="3">
        <v>217.1</v>
      </c>
      <c r="K236" s="3">
        <v>216.83</v>
      </c>
      <c r="L236" s="3">
        <v>219.76</v>
      </c>
      <c r="M236" s="3">
        <v>304.7</v>
      </c>
      <c r="N236" s="3">
        <v>144.30000000000001</v>
      </c>
      <c r="O236" s="5">
        <v>43864788</v>
      </c>
      <c r="P236" s="6">
        <v>9639673208.2000008</v>
      </c>
      <c r="Q236" s="5">
        <v>224254</v>
      </c>
    </row>
    <row r="237" spans="1:17" x14ac:dyDescent="0.25">
      <c r="A237" s="10">
        <v>45726</v>
      </c>
      <c r="B237" s="10" t="str">
        <f t="shared" si="3"/>
        <v>Mar</v>
      </c>
      <c r="C237" s="10" t="str">
        <f>TEXT(Table1[[#This Row],[Date ]],"dddd")</f>
        <v>Monday</v>
      </c>
      <c r="D237" s="10" t="str">
        <f>TEXT(Table1[[#This Row],[Date ]],"yyyy")</f>
        <v>2025</v>
      </c>
      <c r="E237" s="4" t="s">
        <v>14</v>
      </c>
      <c r="F237" s="4">
        <v>217.41</v>
      </c>
      <c r="G237" s="4">
        <v>219.09</v>
      </c>
      <c r="H237" s="4">
        <v>210.55</v>
      </c>
      <c r="I237" s="4">
        <v>216.83</v>
      </c>
      <c r="J237" s="4">
        <v>211.51</v>
      </c>
      <c r="K237" s="4">
        <v>211.28</v>
      </c>
      <c r="L237" s="4">
        <v>213.37</v>
      </c>
      <c r="M237" s="4">
        <v>304.7</v>
      </c>
      <c r="N237" s="4">
        <v>144.30000000000001</v>
      </c>
      <c r="O237" s="7">
        <v>62786821</v>
      </c>
      <c r="P237" s="8">
        <v>13396732461.190001</v>
      </c>
      <c r="Q237" s="7">
        <v>293972</v>
      </c>
    </row>
    <row r="238" spans="1:17" x14ac:dyDescent="0.25">
      <c r="A238" s="9">
        <v>45727</v>
      </c>
      <c r="B238" s="10" t="str">
        <f t="shared" si="3"/>
        <v>Mar</v>
      </c>
      <c r="C238" s="9" t="str">
        <f>TEXT(Table1[[#This Row],[Date ]],"dddd")</f>
        <v>Tuesday</v>
      </c>
      <c r="D238" s="9" t="str">
        <f>TEXT(Table1[[#This Row],[Date ]],"yyyy")</f>
        <v>2025</v>
      </c>
      <c r="E238" s="3" t="s">
        <v>14</v>
      </c>
      <c r="F238" s="3">
        <v>205.01</v>
      </c>
      <c r="G238" s="3">
        <v>210.42</v>
      </c>
      <c r="H238" s="3">
        <v>199.8</v>
      </c>
      <c r="I238" s="3">
        <v>211.28</v>
      </c>
      <c r="J238" s="3">
        <v>208.5</v>
      </c>
      <c r="K238" s="3">
        <v>208.07</v>
      </c>
      <c r="L238" s="3">
        <v>204.61</v>
      </c>
      <c r="M238" s="3">
        <v>304.7</v>
      </c>
      <c r="N238" s="3">
        <v>144.30000000000001</v>
      </c>
      <c r="O238" s="5">
        <v>122391053</v>
      </c>
      <c r="P238" s="6">
        <v>25042091435.900002</v>
      </c>
      <c r="Q238" s="5">
        <v>655855</v>
      </c>
    </row>
    <row r="239" spans="1:17" x14ac:dyDescent="0.25">
      <c r="A239" s="10">
        <v>45728</v>
      </c>
      <c r="B239" s="10" t="str">
        <f t="shared" si="3"/>
        <v>Mar</v>
      </c>
      <c r="C239" s="10" t="str">
        <f>TEXT(Table1[[#This Row],[Date ]],"dddd")</f>
        <v>Wednesday</v>
      </c>
      <c r="D239" s="10" t="str">
        <f>TEXT(Table1[[#This Row],[Date ]],"yyyy")</f>
        <v>2025</v>
      </c>
      <c r="E239" s="4" t="s">
        <v>14</v>
      </c>
      <c r="F239" s="4">
        <v>209.09</v>
      </c>
      <c r="G239" s="4">
        <v>212.5</v>
      </c>
      <c r="H239" s="4">
        <v>201.2</v>
      </c>
      <c r="I239" s="4">
        <v>208.07</v>
      </c>
      <c r="J239" s="4">
        <v>205.8</v>
      </c>
      <c r="K239" s="4">
        <v>205.46</v>
      </c>
      <c r="L239" s="4">
        <v>205.12</v>
      </c>
      <c r="M239" s="4">
        <v>304.7</v>
      </c>
      <c r="N239" s="4">
        <v>144.30000000000001</v>
      </c>
      <c r="O239" s="7">
        <v>80010768</v>
      </c>
      <c r="P239" s="8">
        <v>16411613880.98</v>
      </c>
      <c r="Q239" s="7">
        <v>320372</v>
      </c>
    </row>
    <row r="240" spans="1:17" x14ac:dyDescent="0.25">
      <c r="A240" s="9">
        <v>45729</v>
      </c>
      <c r="B240" s="10" t="str">
        <f t="shared" si="3"/>
        <v>Mar</v>
      </c>
      <c r="C240" s="9" t="str">
        <f>TEXT(Table1[[#This Row],[Date ]],"dddd")</f>
        <v>Thursday</v>
      </c>
      <c r="D240" s="9" t="str">
        <f>TEXT(Table1[[#This Row],[Date ]],"yyyy")</f>
        <v>2025</v>
      </c>
      <c r="E240" s="3" t="s">
        <v>14</v>
      </c>
      <c r="F240" s="3">
        <v>208.2</v>
      </c>
      <c r="G240" s="3">
        <v>208.6</v>
      </c>
      <c r="H240" s="3">
        <v>200.2</v>
      </c>
      <c r="I240" s="3">
        <v>205.46</v>
      </c>
      <c r="J240" s="3">
        <v>202.5</v>
      </c>
      <c r="K240" s="3">
        <v>201.43</v>
      </c>
      <c r="L240" s="3">
        <v>203.98</v>
      </c>
      <c r="M240" s="3">
        <v>304.7</v>
      </c>
      <c r="N240" s="3">
        <v>144.30000000000001</v>
      </c>
      <c r="O240" s="5">
        <v>60780855</v>
      </c>
      <c r="P240" s="6">
        <v>12398380094.370001</v>
      </c>
      <c r="Q240" s="5">
        <v>278069</v>
      </c>
    </row>
    <row r="241" spans="1:17" x14ac:dyDescent="0.25">
      <c r="A241" s="10">
        <v>45733</v>
      </c>
      <c r="B241" s="10" t="str">
        <f t="shared" si="3"/>
        <v>Mar</v>
      </c>
      <c r="C241" s="10" t="str">
        <f>TEXT(Table1[[#This Row],[Date ]],"dddd")</f>
        <v>Monday</v>
      </c>
      <c r="D241" s="10" t="str">
        <f>TEXT(Table1[[#This Row],[Date ]],"yyyy")</f>
        <v>2025</v>
      </c>
      <c r="E241" s="4" t="s">
        <v>14</v>
      </c>
      <c r="F241" s="4">
        <v>200</v>
      </c>
      <c r="G241" s="4">
        <v>207.2</v>
      </c>
      <c r="H241" s="4">
        <v>199.17</v>
      </c>
      <c r="I241" s="4">
        <v>201.43</v>
      </c>
      <c r="J241" s="4">
        <v>204.28</v>
      </c>
      <c r="K241" s="4">
        <v>203.69</v>
      </c>
      <c r="L241" s="4">
        <v>203.89</v>
      </c>
      <c r="M241" s="4">
        <v>304.7</v>
      </c>
      <c r="N241" s="4">
        <v>146.30000000000001</v>
      </c>
      <c r="O241" s="7">
        <v>48729405</v>
      </c>
      <c r="P241" s="8">
        <v>9935325477.6800003</v>
      </c>
      <c r="Q241" s="7">
        <v>312138</v>
      </c>
    </row>
    <row r="242" spans="1:17" x14ac:dyDescent="0.25">
      <c r="A242" s="9">
        <v>45734</v>
      </c>
      <c r="B242" s="10" t="str">
        <f t="shared" si="3"/>
        <v>Mar</v>
      </c>
      <c r="C242" s="9" t="str">
        <f>TEXT(Table1[[#This Row],[Date ]],"dddd")</f>
        <v>Tuesday</v>
      </c>
      <c r="D242" s="9" t="str">
        <f>TEXT(Table1[[#This Row],[Date ]],"yyyy")</f>
        <v>2025</v>
      </c>
      <c r="E242" s="3" t="s">
        <v>14</v>
      </c>
      <c r="F242" s="3">
        <v>204.28</v>
      </c>
      <c r="G242" s="3">
        <v>219.1</v>
      </c>
      <c r="H242" s="3">
        <v>204.28</v>
      </c>
      <c r="I242" s="3">
        <v>203.69</v>
      </c>
      <c r="J242" s="3">
        <v>218.91</v>
      </c>
      <c r="K242" s="3">
        <v>218.19</v>
      </c>
      <c r="L242" s="3">
        <v>213.74</v>
      </c>
      <c r="M242" s="3">
        <v>304.7</v>
      </c>
      <c r="N242" s="3">
        <v>146.30000000000001</v>
      </c>
      <c r="O242" s="5">
        <v>79201906</v>
      </c>
      <c r="P242" s="6">
        <v>16928573546.83</v>
      </c>
      <c r="Q242" s="5">
        <v>367430</v>
      </c>
    </row>
    <row r="243" spans="1:17" x14ac:dyDescent="0.25">
      <c r="A243" s="10">
        <v>45735</v>
      </c>
      <c r="B243" s="10" t="str">
        <f t="shared" si="3"/>
        <v>Mar</v>
      </c>
      <c r="C243" s="10" t="str">
        <f>TEXT(Table1[[#This Row],[Date ]],"dddd")</f>
        <v>Wednesday</v>
      </c>
      <c r="D243" s="10" t="str">
        <f>TEXT(Table1[[#This Row],[Date ]],"yyyy")</f>
        <v>2025</v>
      </c>
      <c r="E243" s="4" t="s">
        <v>14</v>
      </c>
      <c r="F243" s="4">
        <v>218.5</v>
      </c>
      <c r="G243" s="4">
        <v>227.5</v>
      </c>
      <c r="H243" s="4">
        <v>218.5</v>
      </c>
      <c r="I243" s="4">
        <v>218.19</v>
      </c>
      <c r="J243" s="4">
        <v>223.8</v>
      </c>
      <c r="K243" s="4">
        <v>223.53</v>
      </c>
      <c r="L243" s="4">
        <v>224.39</v>
      </c>
      <c r="M243" s="4">
        <v>304.7</v>
      </c>
      <c r="N243" s="4">
        <v>146.30000000000001</v>
      </c>
      <c r="O243" s="7">
        <v>65519150</v>
      </c>
      <c r="P243" s="8">
        <v>14701655217.629999</v>
      </c>
      <c r="Q243" s="7">
        <v>381459</v>
      </c>
    </row>
    <row r="244" spans="1:17" x14ac:dyDescent="0.25">
      <c r="A244" s="9">
        <v>45736</v>
      </c>
      <c r="B244" s="10" t="str">
        <f t="shared" si="3"/>
        <v>Mar</v>
      </c>
      <c r="C244" s="9" t="str">
        <f>TEXT(Table1[[#This Row],[Date ]],"dddd")</f>
        <v>Thursday</v>
      </c>
      <c r="D244" s="9" t="str">
        <f>TEXT(Table1[[#This Row],[Date ]],"yyyy")</f>
        <v>2025</v>
      </c>
      <c r="E244" s="3" t="s">
        <v>14</v>
      </c>
      <c r="F244" s="3">
        <v>226</v>
      </c>
      <c r="G244" s="3">
        <v>228</v>
      </c>
      <c r="H244" s="3">
        <v>221.87</v>
      </c>
      <c r="I244" s="3">
        <v>223.53</v>
      </c>
      <c r="J244" s="3">
        <v>224</v>
      </c>
      <c r="K244" s="3">
        <v>224.47</v>
      </c>
      <c r="L244" s="3">
        <v>224.74</v>
      </c>
      <c r="M244" s="3">
        <v>304.7</v>
      </c>
      <c r="N244" s="3">
        <v>146.30000000000001</v>
      </c>
      <c r="O244" s="5">
        <v>61376776</v>
      </c>
      <c r="P244" s="6">
        <v>13793810551.360001</v>
      </c>
      <c r="Q244" s="5">
        <v>188392</v>
      </c>
    </row>
    <row r="245" spans="1:17" x14ac:dyDescent="0.25">
      <c r="A245" s="10">
        <v>45737</v>
      </c>
      <c r="B245" s="10" t="str">
        <f t="shared" si="3"/>
        <v>Mar</v>
      </c>
      <c r="C245" s="10" t="str">
        <f>TEXT(Table1[[#This Row],[Date ]],"dddd")</f>
        <v>Friday</v>
      </c>
      <c r="D245" s="10" t="str">
        <f>TEXT(Table1[[#This Row],[Date ]],"yyyy")</f>
        <v>2025</v>
      </c>
      <c r="E245" s="4" t="s">
        <v>14</v>
      </c>
      <c r="F245" s="4">
        <v>220</v>
      </c>
      <c r="G245" s="4">
        <v>228.85</v>
      </c>
      <c r="H245" s="4">
        <v>220</v>
      </c>
      <c r="I245" s="4">
        <v>224.47</v>
      </c>
      <c r="J245" s="4">
        <v>227.5</v>
      </c>
      <c r="K245" s="4">
        <v>227.52</v>
      </c>
      <c r="L245" s="4">
        <v>225.92</v>
      </c>
      <c r="M245" s="4">
        <v>304.7</v>
      </c>
      <c r="N245" s="4">
        <v>146.30000000000001</v>
      </c>
      <c r="O245" s="7">
        <v>113328549</v>
      </c>
      <c r="P245" s="8">
        <v>25602736121.470001</v>
      </c>
      <c r="Q245" s="7">
        <v>257104</v>
      </c>
    </row>
    <row r="246" spans="1:17" x14ac:dyDescent="0.25">
      <c r="A246" s="9">
        <v>45740</v>
      </c>
      <c r="B246" s="10" t="str">
        <f t="shared" si="3"/>
        <v>Mar</v>
      </c>
      <c r="C246" s="9" t="str">
        <f>TEXT(Table1[[#This Row],[Date ]],"dddd")</f>
        <v>Monday</v>
      </c>
      <c r="D246" s="9" t="str">
        <f>TEXT(Table1[[#This Row],[Date ]],"yyyy")</f>
        <v>2025</v>
      </c>
      <c r="E246" s="3" t="s">
        <v>14</v>
      </c>
      <c r="F246" s="3">
        <v>228.8</v>
      </c>
      <c r="G246" s="3">
        <v>230.2</v>
      </c>
      <c r="H246" s="3">
        <v>222.2</v>
      </c>
      <c r="I246" s="3">
        <v>227.52</v>
      </c>
      <c r="J246" s="3">
        <v>222.84</v>
      </c>
      <c r="K246" s="3">
        <v>222.8</v>
      </c>
      <c r="L246" s="3">
        <v>225.05</v>
      </c>
      <c r="M246" s="3">
        <v>304.7</v>
      </c>
      <c r="N246" s="3">
        <v>146.30000000000001</v>
      </c>
      <c r="O246" s="5">
        <v>41920679</v>
      </c>
      <c r="P246" s="6">
        <v>9434393719.25</v>
      </c>
      <c r="Q246" s="5">
        <v>246715</v>
      </c>
    </row>
    <row r="247" spans="1:17" x14ac:dyDescent="0.25">
      <c r="A247" s="10">
        <v>45741</v>
      </c>
      <c r="B247" s="10" t="str">
        <f t="shared" si="3"/>
        <v>Mar</v>
      </c>
      <c r="C247" s="10" t="str">
        <f>TEXT(Table1[[#This Row],[Date ]],"dddd")</f>
        <v>Tuesday</v>
      </c>
      <c r="D247" s="10" t="str">
        <f>TEXT(Table1[[#This Row],[Date ]],"yyyy")</f>
        <v>2025</v>
      </c>
      <c r="E247" s="4" t="s">
        <v>14</v>
      </c>
      <c r="F247" s="4">
        <v>223.8</v>
      </c>
      <c r="G247" s="4">
        <v>225.1</v>
      </c>
      <c r="H247" s="4">
        <v>209</v>
      </c>
      <c r="I247" s="4">
        <v>222.8</v>
      </c>
      <c r="J247" s="4">
        <v>210.2</v>
      </c>
      <c r="K247" s="4">
        <v>209.81</v>
      </c>
      <c r="L247" s="4">
        <v>213.41</v>
      </c>
      <c r="M247" s="4">
        <v>304.7</v>
      </c>
      <c r="N247" s="4">
        <v>146.30000000000001</v>
      </c>
      <c r="O247" s="7">
        <v>84184995</v>
      </c>
      <c r="P247" s="8">
        <v>17966220990.5</v>
      </c>
      <c r="Q247" s="7">
        <v>422009</v>
      </c>
    </row>
    <row r="248" spans="1:17" x14ac:dyDescent="0.25">
      <c r="A248" s="9">
        <v>45742</v>
      </c>
      <c r="B248" s="10" t="str">
        <f t="shared" si="3"/>
        <v>Mar</v>
      </c>
      <c r="C248" s="9" t="str">
        <f>TEXT(Table1[[#This Row],[Date ]],"dddd")</f>
        <v>Wednesday</v>
      </c>
      <c r="D248" s="9" t="str">
        <f>TEXT(Table1[[#This Row],[Date ]],"yyyy")</f>
        <v>2025</v>
      </c>
      <c r="E248" s="3" t="s">
        <v>14</v>
      </c>
      <c r="F248" s="3">
        <v>202.35</v>
      </c>
      <c r="G248" s="3">
        <v>206.9</v>
      </c>
      <c r="H248" s="3">
        <v>199.92</v>
      </c>
      <c r="I248" s="3">
        <v>209.81</v>
      </c>
      <c r="J248" s="3">
        <v>204.47</v>
      </c>
      <c r="K248" s="3">
        <v>203.29</v>
      </c>
      <c r="L248" s="3">
        <v>203.89</v>
      </c>
      <c r="M248" s="3">
        <v>304.7</v>
      </c>
      <c r="N248" s="3">
        <v>146.30000000000001</v>
      </c>
      <c r="O248" s="5">
        <v>114342130</v>
      </c>
      <c r="P248" s="6">
        <v>23312857118.080002</v>
      </c>
      <c r="Q248" s="11">
        <v>478755</v>
      </c>
    </row>
    <row r="249" spans="1:17" x14ac:dyDescent="0.25">
      <c r="A249" s="10">
        <v>45743</v>
      </c>
      <c r="B249" s="10" t="str">
        <f t="shared" si="3"/>
        <v>Mar</v>
      </c>
      <c r="C249" s="10" t="str">
        <f>TEXT(Table1[[#This Row],[Date ]],"dddd")</f>
        <v>Thursday</v>
      </c>
      <c r="D249" s="10" t="str">
        <f>TEXT(Table1[[#This Row],[Date ]],"yyyy")</f>
        <v>2025</v>
      </c>
      <c r="E249" s="4" t="s">
        <v>14</v>
      </c>
      <c r="F249" s="4">
        <v>204.47</v>
      </c>
      <c r="G249" s="4">
        <v>208.75</v>
      </c>
      <c r="H249" s="4">
        <v>200.37</v>
      </c>
      <c r="I249" s="4">
        <v>203.29</v>
      </c>
      <c r="J249" s="4">
        <v>203</v>
      </c>
      <c r="K249" s="4">
        <v>206.28</v>
      </c>
      <c r="L249" s="4">
        <v>205.79</v>
      </c>
      <c r="M249" s="4">
        <v>304.7</v>
      </c>
      <c r="N249" s="4">
        <v>146.30000000000001</v>
      </c>
      <c r="O249" s="7">
        <v>400414753</v>
      </c>
      <c r="P249" s="8">
        <v>82400147801.580002</v>
      </c>
      <c r="Q249" s="7">
        <v>539248</v>
      </c>
    </row>
    <row r="250" spans="1:17" x14ac:dyDescent="0.25">
      <c r="A250" s="13">
        <v>45744</v>
      </c>
      <c r="B250" s="10" t="str">
        <f t="shared" si="3"/>
        <v>Mar</v>
      </c>
      <c r="C250" s="13" t="str">
        <f>TEXT(Table1[[#This Row],[Date ]],"dddd")</f>
        <v>Friday</v>
      </c>
      <c r="D250" s="13" t="str">
        <f>TEXT(Table1[[#This Row],[Date ]],"yyyy")</f>
        <v>2025</v>
      </c>
      <c r="E250" s="14" t="s">
        <v>14</v>
      </c>
      <c r="F250" s="14">
        <v>204.24</v>
      </c>
      <c r="G250" s="14">
        <v>209.9</v>
      </c>
      <c r="H250" s="14">
        <v>200.5</v>
      </c>
      <c r="I250" s="14">
        <v>206.28</v>
      </c>
      <c r="J250" s="14">
        <v>201.2</v>
      </c>
      <c r="K250" s="14">
        <v>201.7</v>
      </c>
      <c r="L250" s="14">
        <v>204.43</v>
      </c>
      <c r="M250" s="14">
        <v>304.7</v>
      </c>
      <c r="N250" s="14">
        <v>146.30000000000001</v>
      </c>
      <c r="O250" s="15">
        <v>74842762</v>
      </c>
      <c r="P250" s="16">
        <v>15299765438.290001</v>
      </c>
      <c r="Q250" s="15">
        <v>334406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B06A-CE32-47F9-B3E9-9DC89A19E781}">
  <dimension ref="A7"/>
  <sheetViews>
    <sheetView showGridLines="0" tabSelected="1" workbookViewId="0">
      <selection activeCell="V5" sqref="V5"/>
    </sheetView>
  </sheetViews>
  <sheetFormatPr defaultRowHeight="15" x14ac:dyDescent="0.25"/>
  <sheetData>
    <row r="7" ht="12.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AE9F-B393-4145-9BC0-BCCA889DB98D}">
  <sheetPr codeName="Sheet3"/>
  <dimension ref="A3:B27"/>
  <sheetViews>
    <sheetView workbookViewId="0">
      <selection activeCell="Q20" sqref="Q20"/>
    </sheetView>
  </sheetViews>
  <sheetFormatPr defaultRowHeight="15" x14ac:dyDescent="0.25"/>
  <cols>
    <col min="1" max="1" width="18" bestFit="1" customWidth="1"/>
    <col min="2" max="2" width="12.5703125" bestFit="1" customWidth="1"/>
  </cols>
  <sheetData>
    <row r="3" spans="1:2" x14ac:dyDescent="0.25">
      <c r="A3" s="1" t="s">
        <v>15</v>
      </c>
      <c r="B3" t="s">
        <v>16</v>
      </c>
    </row>
    <row r="4" spans="1:2" x14ac:dyDescent="0.25">
      <c r="A4" s="2" t="s">
        <v>30</v>
      </c>
      <c r="B4" s="22">
        <v>6013.8500000000013</v>
      </c>
    </row>
    <row r="5" spans="1:2" x14ac:dyDescent="0.25">
      <c r="A5" s="19" t="s">
        <v>31</v>
      </c>
      <c r="B5" s="22">
        <v>6013.8500000000013</v>
      </c>
    </row>
    <row r="6" spans="1:2" x14ac:dyDescent="0.25">
      <c r="A6" s="20" t="s">
        <v>32</v>
      </c>
      <c r="B6" s="22">
        <v>6013.8500000000013</v>
      </c>
    </row>
    <row r="7" spans="1:2" x14ac:dyDescent="0.25">
      <c r="A7" s="21">
        <v>45628</v>
      </c>
      <c r="B7" s="22">
        <v>282.5</v>
      </c>
    </row>
    <row r="8" spans="1:2" x14ac:dyDescent="0.25">
      <c r="A8" s="21">
        <v>45629</v>
      </c>
      <c r="B8" s="22">
        <v>279.85000000000002</v>
      </c>
    </row>
    <row r="9" spans="1:2" x14ac:dyDescent="0.25">
      <c r="A9" s="21">
        <v>45630</v>
      </c>
      <c r="B9" s="22">
        <v>286.25</v>
      </c>
    </row>
    <row r="10" spans="1:2" x14ac:dyDescent="0.25">
      <c r="A10" s="21">
        <v>45631</v>
      </c>
      <c r="B10" s="22">
        <v>299.35000000000002</v>
      </c>
    </row>
    <row r="11" spans="1:2" x14ac:dyDescent="0.25">
      <c r="A11" s="21">
        <v>45632</v>
      </c>
      <c r="B11" s="22">
        <v>302.95</v>
      </c>
    </row>
    <row r="12" spans="1:2" x14ac:dyDescent="0.25">
      <c r="A12" s="21">
        <v>45635</v>
      </c>
      <c r="B12" s="22">
        <v>295.3</v>
      </c>
    </row>
    <row r="13" spans="1:2" x14ac:dyDescent="0.25">
      <c r="A13" s="21">
        <v>45636</v>
      </c>
      <c r="B13" s="22">
        <v>295.85000000000002</v>
      </c>
    </row>
    <row r="14" spans="1:2" x14ac:dyDescent="0.25">
      <c r="A14" s="21">
        <v>45637</v>
      </c>
      <c r="B14" s="22">
        <v>291.8</v>
      </c>
    </row>
    <row r="15" spans="1:2" x14ac:dyDescent="0.25">
      <c r="A15" s="21">
        <v>45638</v>
      </c>
      <c r="B15" s="22">
        <v>284.89999999999998</v>
      </c>
    </row>
    <row r="16" spans="1:2" x14ac:dyDescent="0.25">
      <c r="A16" s="21">
        <v>45639</v>
      </c>
      <c r="B16" s="22">
        <v>288.25</v>
      </c>
    </row>
    <row r="17" spans="1:2" x14ac:dyDescent="0.25">
      <c r="A17" s="21">
        <v>45642</v>
      </c>
      <c r="B17" s="22">
        <v>294.14999999999998</v>
      </c>
    </row>
    <row r="18" spans="1:2" x14ac:dyDescent="0.25">
      <c r="A18" s="21">
        <v>45643</v>
      </c>
      <c r="B18" s="22">
        <v>296.8</v>
      </c>
    </row>
    <row r="19" spans="1:2" x14ac:dyDescent="0.25">
      <c r="A19" s="21">
        <v>45644</v>
      </c>
      <c r="B19" s="22">
        <v>291.89999999999998</v>
      </c>
    </row>
    <row r="20" spans="1:2" x14ac:dyDescent="0.25">
      <c r="A20" s="21">
        <v>45645</v>
      </c>
      <c r="B20" s="22">
        <v>288.5</v>
      </c>
    </row>
    <row r="21" spans="1:2" x14ac:dyDescent="0.25">
      <c r="A21" s="21">
        <v>45646</v>
      </c>
      <c r="B21" s="22">
        <v>282.10000000000002</v>
      </c>
    </row>
    <row r="22" spans="1:2" x14ac:dyDescent="0.25">
      <c r="A22" s="21">
        <v>45649</v>
      </c>
      <c r="B22" s="22">
        <v>273.95</v>
      </c>
    </row>
    <row r="23" spans="1:2" x14ac:dyDescent="0.25">
      <c r="A23" s="21">
        <v>45650</v>
      </c>
      <c r="B23" s="22">
        <v>274.85000000000002</v>
      </c>
    </row>
    <row r="24" spans="1:2" x14ac:dyDescent="0.25">
      <c r="A24" s="21">
        <v>45652</v>
      </c>
      <c r="B24" s="22">
        <v>273.2</v>
      </c>
    </row>
    <row r="25" spans="1:2" x14ac:dyDescent="0.25">
      <c r="A25" s="21">
        <v>45653</v>
      </c>
      <c r="B25" s="22">
        <v>271.25</v>
      </c>
    </row>
    <row r="26" spans="1:2" x14ac:dyDescent="0.25">
      <c r="A26" s="21">
        <v>45656</v>
      </c>
      <c r="B26" s="22">
        <v>282.10000000000002</v>
      </c>
    </row>
    <row r="27" spans="1:2" x14ac:dyDescent="0.25">
      <c r="A27" s="21">
        <v>45657</v>
      </c>
      <c r="B27" s="22">
        <v>278.05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8A12-9571-469F-A523-AA4F932C4CA3}">
  <dimension ref="A3:C5"/>
  <sheetViews>
    <sheetView workbookViewId="0">
      <selection activeCell="H20" sqref="H20"/>
    </sheetView>
  </sheetViews>
  <sheetFormatPr defaultRowHeight="15" x14ac:dyDescent="0.25"/>
  <cols>
    <col min="1" max="1" width="13.140625" bestFit="1" customWidth="1"/>
    <col min="2" max="2" width="12.7109375" bestFit="1" customWidth="1"/>
    <col min="3" max="3" width="16" bestFit="1" customWidth="1"/>
    <col min="4" max="13" width="16.28515625" bestFit="1" customWidth="1"/>
    <col min="14" max="14" width="11.28515625" bestFit="1" customWidth="1"/>
  </cols>
  <sheetData>
    <row r="3" spans="1:3" x14ac:dyDescent="0.25">
      <c r="A3" s="1" t="s">
        <v>15</v>
      </c>
      <c r="B3" t="s">
        <v>25</v>
      </c>
      <c r="C3" t="s">
        <v>24</v>
      </c>
    </row>
    <row r="4" spans="1:3" x14ac:dyDescent="0.25">
      <c r="A4" s="2" t="s">
        <v>32</v>
      </c>
      <c r="B4" s="22">
        <v>3728.75</v>
      </c>
      <c r="C4" s="22">
        <v>651776841</v>
      </c>
    </row>
    <row r="5" spans="1:3" x14ac:dyDescent="0.25">
      <c r="A5" s="2" t="s">
        <v>20</v>
      </c>
      <c r="B5" s="22">
        <v>3728.75</v>
      </c>
      <c r="C5" s="22">
        <v>651776841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3E8F-644F-498F-89C7-6FAFE450ABD6}">
  <dimension ref="A3:E20"/>
  <sheetViews>
    <sheetView topLeftCell="B1" workbookViewId="0">
      <selection activeCell="M25" sqref="M25"/>
    </sheetView>
  </sheetViews>
  <sheetFormatPr defaultRowHeight="15" x14ac:dyDescent="0.25"/>
  <cols>
    <col min="1" max="1" width="18" bestFit="1" customWidth="1"/>
    <col min="2" max="2" width="13.140625" bestFit="1" customWidth="1"/>
    <col min="3" max="3" width="12.28515625" bestFit="1" customWidth="1"/>
    <col min="4" max="5" width="12.5703125" bestFit="1" customWidth="1"/>
  </cols>
  <sheetData>
    <row r="3" spans="1:5" x14ac:dyDescent="0.25">
      <c r="A3" s="1" t="s">
        <v>15</v>
      </c>
      <c r="B3" t="s">
        <v>21</v>
      </c>
      <c r="C3" t="s">
        <v>23</v>
      </c>
      <c r="D3" t="s">
        <v>22</v>
      </c>
      <c r="E3" t="s">
        <v>16</v>
      </c>
    </row>
    <row r="4" spans="1:5" x14ac:dyDescent="0.25">
      <c r="A4" s="2" t="s">
        <v>30</v>
      </c>
      <c r="B4" s="22">
        <v>3715.9</v>
      </c>
      <c r="C4" s="22">
        <v>3672.6</v>
      </c>
      <c r="D4" s="22">
        <v>3784.6499999999996</v>
      </c>
      <c r="E4" s="22">
        <v>3723.35</v>
      </c>
    </row>
    <row r="5" spans="1:5" x14ac:dyDescent="0.25">
      <c r="A5" s="19" t="s">
        <v>31</v>
      </c>
      <c r="B5" s="22">
        <v>3715.9</v>
      </c>
      <c r="C5" s="22">
        <v>3672.6</v>
      </c>
      <c r="D5" s="22">
        <v>3784.6499999999996</v>
      </c>
      <c r="E5" s="22">
        <v>3723.35</v>
      </c>
    </row>
    <row r="6" spans="1:5" x14ac:dyDescent="0.25">
      <c r="A6" s="20" t="s">
        <v>32</v>
      </c>
      <c r="B6" s="22">
        <v>3715.9</v>
      </c>
      <c r="C6" s="22">
        <v>3672.6</v>
      </c>
      <c r="D6" s="22">
        <v>3784.6499999999996</v>
      </c>
      <c r="E6" s="22">
        <v>3723.35</v>
      </c>
    </row>
    <row r="7" spans="1:5" x14ac:dyDescent="0.25">
      <c r="A7" s="21">
        <v>45628</v>
      </c>
      <c r="B7" s="22">
        <v>281.89999999999998</v>
      </c>
      <c r="C7" s="22">
        <v>280.45</v>
      </c>
      <c r="D7" s="22">
        <v>285.7</v>
      </c>
      <c r="E7" s="22">
        <v>282.5</v>
      </c>
    </row>
    <row r="8" spans="1:5" x14ac:dyDescent="0.25">
      <c r="A8" s="21">
        <v>45629</v>
      </c>
      <c r="B8" s="22">
        <v>279.7</v>
      </c>
      <c r="C8" s="22">
        <v>279</v>
      </c>
      <c r="D8" s="22">
        <v>282.35000000000002</v>
      </c>
      <c r="E8" s="22">
        <v>279.85000000000002</v>
      </c>
    </row>
    <row r="9" spans="1:5" x14ac:dyDescent="0.25">
      <c r="A9" s="21">
        <v>45630</v>
      </c>
      <c r="B9" s="22">
        <v>283</v>
      </c>
      <c r="C9" s="22">
        <v>283</v>
      </c>
      <c r="D9" s="22">
        <v>288</v>
      </c>
      <c r="E9" s="22">
        <v>286.25</v>
      </c>
    </row>
    <row r="10" spans="1:5" x14ac:dyDescent="0.25">
      <c r="A10" s="21">
        <v>45635</v>
      </c>
      <c r="B10" s="22">
        <v>304.7</v>
      </c>
      <c r="C10" s="22">
        <v>291.8</v>
      </c>
      <c r="D10" s="22">
        <v>304.7</v>
      </c>
      <c r="E10" s="22">
        <v>295.3</v>
      </c>
    </row>
    <row r="11" spans="1:5" x14ac:dyDescent="0.25">
      <c r="A11" s="21">
        <v>45636</v>
      </c>
      <c r="B11" s="22">
        <v>296.75</v>
      </c>
      <c r="C11" s="22">
        <v>295</v>
      </c>
      <c r="D11" s="22">
        <v>299.45</v>
      </c>
      <c r="E11" s="22">
        <v>295.85000000000002</v>
      </c>
    </row>
    <row r="12" spans="1:5" x14ac:dyDescent="0.25">
      <c r="A12" s="21">
        <v>45637</v>
      </c>
      <c r="B12" s="22">
        <v>290</v>
      </c>
      <c r="C12" s="22">
        <v>288.60000000000002</v>
      </c>
      <c r="D12" s="22">
        <v>294.3</v>
      </c>
      <c r="E12" s="22">
        <v>291.8</v>
      </c>
    </row>
    <row r="13" spans="1:5" x14ac:dyDescent="0.25">
      <c r="A13" s="21">
        <v>45642</v>
      </c>
      <c r="B13" s="22">
        <v>289</v>
      </c>
      <c r="C13" s="22">
        <v>286.55</v>
      </c>
      <c r="D13" s="22">
        <v>295.89999999999998</v>
      </c>
      <c r="E13" s="22">
        <v>294.14999999999998</v>
      </c>
    </row>
    <row r="14" spans="1:5" x14ac:dyDescent="0.25">
      <c r="A14" s="21">
        <v>45643</v>
      </c>
      <c r="B14" s="22">
        <v>295.5</v>
      </c>
      <c r="C14" s="22">
        <v>292.3</v>
      </c>
      <c r="D14" s="22">
        <v>303.45</v>
      </c>
      <c r="E14" s="22">
        <v>296.8</v>
      </c>
    </row>
    <row r="15" spans="1:5" x14ac:dyDescent="0.25">
      <c r="A15" s="21">
        <v>45644</v>
      </c>
      <c r="B15" s="22">
        <v>297.7</v>
      </c>
      <c r="C15" s="22">
        <v>290</v>
      </c>
      <c r="D15" s="22">
        <v>297.7</v>
      </c>
      <c r="E15" s="22">
        <v>291.89999999999998</v>
      </c>
    </row>
    <row r="16" spans="1:5" x14ac:dyDescent="0.25">
      <c r="A16" s="21">
        <v>45649</v>
      </c>
      <c r="B16" s="22">
        <v>273.89999999999998</v>
      </c>
      <c r="C16" s="22">
        <v>272</v>
      </c>
      <c r="D16" s="22">
        <v>282.89999999999998</v>
      </c>
      <c r="E16" s="22">
        <v>273.95</v>
      </c>
    </row>
    <row r="17" spans="1:5" x14ac:dyDescent="0.25">
      <c r="A17" s="21">
        <v>45650</v>
      </c>
      <c r="B17" s="22">
        <v>274.5</v>
      </c>
      <c r="C17" s="22">
        <v>269.10000000000002</v>
      </c>
      <c r="D17" s="22">
        <v>277</v>
      </c>
      <c r="E17" s="22">
        <v>274.85000000000002</v>
      </c>
    </row>
    <row r="18" spans="1:5" x14ac:dyDescent="0.25">
      <c r="A18" s="21">
        <v>45656</v>
      </c>
      <c r="B18" s="22">
        <v>271.25</v>
      </c>
      <c r="C18" s="22">
        <v>269.8</v>
      </c>
      <c r="D18" s="22">
        <v>291.60000000000002</v>
      </c>
      <c r="E18" s="22">
        <v>282.10000000000002</v>
      </c>
    </row>
    <row r="19" spans="1:5" x14ac:dyDescent="0.25">
      <c r="A19" s="21">
        <v>45657</v>
      </c>
      <c r="B19" s="22">
        <v>278</v>
      </c>
      <c r="C19" s="22">
        <v>275</v>
      </c>
      <c r="D19" s="22">
        <v>281.60000000000002</v>
      </c>
      <c r="E19" s="22">
        <v>278.05</v>
      </c>
    </row>
    <row r="20" spans="1:5" x14ac:dyDescent="0.25">
      <c r="A20" s="2" t="s">
        <v>20</v>
      </c>
      <c r="B20" s="22">
        <v>3715.9</v>
      </c>
      <c r="C20" s="22">
        <v>3672.6</v>
      </c>
      <c r="D20" s="22">
        <v>3784.6499999999996</v>
      </c>
      <c r="E20" s="22">
        <v>3723.35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89C2-0038-4202-8F89-712D44CE2C6A}">
  <dimension ref="A3:C5"/>
  <sheetViews>
    <sheetView topLeftCell="A2" workbookViewId="0">
      <selection activeCell="Q20" sqref="Q20"/>
    </sheetView>
  </sheetViews>
  <sheetFormatPr defaultRowHeight="15" x14ac:dyDescent="0.25"/>
  <cols>
    <col min="1" max="1" width="13.140625" bestFit="1" customWidth="1"/>
    <col min="2" max="2" width="13.85546875" bestFit="1" customWidth="1"/>
    <col min="3" max="3" width="13.42578125" bestFit="1" customWidth="1"/>
  </cols>
  <sheetData>
    <row r="3" spans="1:3" x14ac:dyDescent="0.25">
      <c r="A3" s="1" t="s">
        <v>15</v>
      </c>
      <c r="B3" t="s">
        <v>26</v>
      </c>
      <c r="C3" t="s">
        <v>27</v>
      </c>
    </row>
    <row r="4" spans="1:3" x14ac:dyDescent="0.25">
      <c r="A4" s="2" t="s">
        <v>32</v>
      </c>
      <c r="B4" s="22">
        <v>3941.7499999999991</v>
      </c>
      <c r="C4" s="22">
        <v>1529.8999999999996</v>
      </c>
    </row>
    <row r="5" spans="1:3" x14ac:dyDescent="0.25">
      <c r="A5" s="2" t="s">
        <v>20</v>
      </c>
      <c r="B5" s="22">
        <v>3941.7499999999991</v>
      </c>
      <c r="C5" s="22">
        <v>1529.8999999999996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6E07-C20E-4096-9ABD-2098ADDE357A}">
  <dimension ref="A3:Q10"/>
  <sheetViews>
    <sheetView workbookViewId="0">
      <selection activeCell="R1" sqref="R1:R1048576"/>
    </sheetView>
  </sheetViews>
  <sheetFormatPr defaultRowHeight="15" x14ac:dyDescent="0.25"/>
  <cols>
    <col min="1" max="1" width="13.140625" bestFit="1" customWidth="1"/>
    <col min="2" max="2" width="13.85546875" bestFit="1" customWidth="1"/>
    <col min="3" max="3" width="13.42578125" bestFit="1" customWidth="1"/>
    <col min="4" max="4" width="19.5703125" bestFit="1" customWidth="1"/>
    <col min="5" max="5" width="12.5703125" bestFit="1" customWidth="1"/>
  </cols>
  <sheetData>
    <row r="3" spans="1:17" x14ac:dyDescent="0.25">
      <c r="A3" s="1" t="s">
        <v>15</v>
      </c>
      <c r="B3" t="s">
        <v>26</v>
      </c>
      <c r="C3" t="s">
        <v>27</v>
      </c>
      <c r="D3" t="s">
        <v>28</v>
      </c>
      <c r="E3" t="s">
        <v>16</v>
      </c>
    </row>
    <row r="4" spans="1:17" x14ac:dyDescent="0.25">
      <c r="A4" s="2" t="s">
        <v>32</v>
      </c>
      <c r="B4" s="22">
        <v>3941.7499999999991</v>
      </c>
      <c r="C4" s="22">
        <v>1529.8999999999996</v>
      </c>
      <c r="D4" s="17">
        <v>50136680.07692308</v>
      </c>
      <c r="E4" s="22">
        <v>3723.35</v>
      </c>
    </row>
    <row r="5" spans="1:17" x14ac:dyDescent="0.25">
      <c r="A5" s="2" t="s">
        <v>20</v>
      </c>
      <c r="B5" s="22">
        <v>3941.7499999999991</v>
      </c>
      <c r="C5" s="22">
        <v>1529.8999999999996</v>
      </c>
      <c r="D5" s="17">
        <v>50136680.07692308</v>
      </c>
      <c r="E5" s="22">
        <v>3723.35</v>
      </c>
    </row>
    <row r="10" spans="1:17" x14ac:dyDescent="0.25">
      <c r="Q10" t="s">
        <v>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REPORTS</vt:lpstr>
      <vt:lpstr>ZCPOT</vt:lpstr>
      <vt:lpstr>MVT</vt:lpstr>
      <vt:lpstr>ZS.CC</vt:lpstr>
      <vt:lpstr>52W ANALYSIS</vt:lpstr>
      <vt:lpstr>KPI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2025-04-04T15:35:42Z</dcterms:created>
  <dcterms:modified xsi:type="dcterms:W3CDTF">2025-11-30T08:47:03Z</dcterms:modified>
</cp:coreProperties>
</file>